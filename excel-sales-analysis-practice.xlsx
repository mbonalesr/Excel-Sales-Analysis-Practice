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hidePivotFieldList="1" defaultThemeVersion="124226"/>
  <mc:AlternateContent xmlns:mc="http://schemas.openxmlformats.org/markup-compatibility/2006">
    <mc:Choice Requires="x15">
      <x15ac:absPath xmlns:x15ac="http://schemas.microsoft.com/office/spreadsheetml/2010/11/ac" url="https://d.docs.live.net/0529e45c307b06fa/Documentos/excel-sales-analysis-practice/"/>
    </mc:Choice>
  </mc:AlternateContent>
  <xr:revisionPtr revIDLastSave="924" documentId="11_10363C86A59E04CA1C49BB03C19665DB51B662F9" xr6:coauthVersionLast="47" xr6:coauthVersionMax="47" xr10:uidLastSave="{8C363822-EEC2-4DF7-A777-D9BE20ECCB06}"/>
  <bookViews>
    <workbookView minimized="1" xWindow="31395" yWindow="2985" windowWidth="21600" windowHeight="11295" activeTab="1" xr2:uid="{00000000-000D-0000-FFFF-FFFF00000000}"/>
  </bookViews>
  <sheets>
    <sheet name="Sales" sheetId="1" r:id="rId1"/>
    <sheet name="Questions" sheetId="2" r:id="rId2"/>
    <sheet name="Analysis" sheetId="3" r:id="rId3"/>
    <sheet name="Sales_Pivot" sheetId="6" r:id="rId4"/>
    <sheet name="Dashboard" sheetId="4" r:id="rId5"/>
  </sheets>
  <calcPr calcId="191029"/>
  <pivotCaches>
    <pivotCache cacheId="0" r:id="rId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6" i="3" l="1"/>
  <c r="C130" i="3" a="1"/>
  <c r="C130" i="3" s="1"/>
  <c r="P3" i="3"/>
  <c r="P2" i="3"/>
  <c r="M3" i="3" a="1"/>
  <c r="M3" i="3" s="1"/>
  <c r="M4" i="3" a="1"/>
  <c r="M4" i="3"/>
  <c r="M5" i="3" a="1"/>
  <c r="M5" i="3"/>
  <c r="M6" i="3" a="1"/>
  <c r="M6" i="3"/>
  <c r="M7" i="3" a="1"/>
  <c r="M7" i="3"/>
  <c r="M8" i="3" a="1"/>
  <c r="M8" i="3"/>
  <c r="M9" i="3" a="1"/>
  <c r="M9" i="3"/>
  <c r="M10" i="3" a="1"/>
  <c r="M10" i="3"/>
  <c r="M11" i="3" a="1"/>
  <c r="M11" i="3"/>
  <c r="M12" i="3" a="1"/>
  <c r="M12" i="3"/>
  <c r="M13" i="3" a="1"/>
  <c r="M13" i="3" s="1"/>
  <c r="M14" i="3" a="1"/>
  <c r="M14" i="3"/>
  <c r="M15" i="3" a="1"/>
  <c r="M15" i="3" s="1"/>
  <c r="M16" i="3" a="1"/>
  <c r="M16" i="3"/>
  <c r="M17" i="3" a="1"/>
  <c r="M17" i="3"/>
  <c r="M18" i="3" a="1"/>
  <c r="M18" i="3"/>
  <c r="M19" i="3" a="1"/>
  <c r="M19" i="3"/>
  <c r="M20" i="3" a="1"/>
  <c r="M20" i="3"/>
  <c r="M21" i="3" a="1"/>
  <c r="M21" i="3"/>
  <c r="M22" i="3" a="1"/>
  <c r="M22" i="3"/>
  <c r="M23" i="3" a="1"/>
  <c r="M23" i="3"/>
  <c r="M24" i="3" a="1"/>
  <c r="M24" i="3"/>
  <c r="M25" i="3" a="1"/>
  <c r="M25" i="3" s="1"/>
  <c r="M26" i="3" a="1"/>
  <c r="M26" i="3"/>
  <c r="M27" i="3" a="1"/>
  <c r="M27" i="3" s="1"/>
  <c r="M28" i="3" a="1"/>
  <c r="M28" i="3"/>
  <c r="M29" i="3" a="1"/>
  <c r="M29" i="3"/>
  <c r="M30" i="3" a="1"/>
  <c r="M30" i="3"/>
  <c r="M31" i="3" a="1"/>
  <c r="M31" i="3"/>
  <c r="M32" i="3" a="1"/>
  <c r="M32" i="3"/>
  <c r="M33" i="3" a="1"/>
  <c r="M33" i="3"/>
  <c r="M34" i="3" a="1"/>
  <c r="M34" i="3" s="1"/>
  <c r="M35" i="3" a="1"/>
  <c r="M35" i="3"/>
  <c r="M36" i="3" a="1"/>
  <c r="M36" i="3"/>
  <c r="M37" i="3" a="1"/>
  <c r="M37" i="3"/>
  <c r="M38" i="3" a="1"/>
  <c r="M38" i="3"/>
  <c r="M39" i="3" a="1"/>
  <c r="M39" i="3" s="1"/>
  <c r="M40" i="3" a="1"/>
  <c r="M40" i="3"/>
  <c r="M41" i="3" a="1"/>
  <c r="M41" i="3"/>
  <c r="M42" i="3" a="1"/>
  <c r="M42" i="3"/>
  <c r="M43" i="3" a="1"/>
  <c r="M43" i="3"/>
  <c r="M44" i="3" a="1"/>
  <c r="M44" i="3"/>
  <c r="M45" i="3" a="1"/>
  <c r="M45" i="3"/>
  <c r="M46" i="3" a="1"/>
  <c r="M46" i="3"/>
  <c r="M47" i="3" a="1"/>
  <c r="M47" i="3"/>
  <c r="M48" i="3" a="1"/>
  <c r="M48" i="3"/>
  <c r="M49" i="3" a="1"/>
  <c r="M49" i="3"/>
  <c r="M50" i="3" a="1"/>
  <c r="M50" i="3"/>
  <c r="M51" i="3" a="1"/>
  <c r="M51" i="3" s="1"/>
  <c r="M52" i="3" a="1"/>
  <c r="M52" i="3"/>
  <c r="M53" i="3" a="1"/>
  <c r="M53" i="3"/>
  <c r="M54" i="3" a="1"/>
  <c r="M54" i="3"/>
  <c r="M55" i="3" a="1"/>
  <c r="M55" i="3"/>
  <c r="M56" i="3" a="1"/>
  <c r="M56" i="3"/>
  <c r="M57" i="3" a="1"/>
  <c r="M57" i="3"/>
  <c r="M58" i="3" a="1"/>
  <c r="M58" i="3"/>
  <c r="M59" i="3" a="1"/>
  <c r="M59" i="3"/>
  <c r="M60" i="3" a="1"/>
  <c r="M60" i="3"/>
  <c r="M61" i="3" a="1"/>
  <c r="M61" i="3"/>
  <c r="M62" i="3" a="1"/>
  <c r="M62" i="3"/>
  <c r="M63" i="3" a="1"/>
  <c r="M63" i="3" s="1"/>
  <c r="M64" i="3" a="1"/>
  <c r="M64" i="3"/>
  <c r="M65" i="3" a="1"/>
  <c r="M65" i="3"/>
  <c r="M66" i="3" a="1"/>
  <c r="M66" i="3"/>
  <c r="M67" i="3" a="1"/>
  <c r="M67" i="3"/>
  <c r="M68" i="3" a="1"/>
  <c r="M68" i="3"/>
  <c r="M69" i="3" a="1"/>
  <c r="M69" i="3"/>
  <c r="M70" i="3" a="1"/>
  <c r="M70" i="3"/>
  <c r="M71" i="3" a="1"/>
  <c r="M71" i="3"/>
  <c r="M72" i="3" a="1"/>
  <c r="M72" i="3"/>
  <c r="M73" i="3" a="1"/>
  <c r="M73" i="3"/>
  <c r="M74" i="3" a="1"/>
  <c r="M74" i="3"/>
  <c r="M75" i="3" a="1"/>
  <c r="M75" i="3" s="1"/>
  <c r="M76" i="3" a="1"/>
  <c r="M76" i="3"/>
  <c r="M77" i="3" a="1"/>
  <c r="M77" i="3"/>
  <c r="M78" i="3" a="1"/>
  <c r="M78" i="3"/>
  <c r="M79" i="3" a="1"/>
  <c r="M79" i="3"/>
  <c r="M80" i="3" a="1"/>
  <c r="M80" i="3"/>
  <c r="M81" i="3" a="1"/>
  <c r="M81" i="3"/>
  <c r="M82" i="3" a="1"/>
  <c r="M82" i="3"/>
  <c r="M83" i="3" a="1"/>
  <c r="M83" i="3"/>
  <c r="M84" i="3" a="1"/>
  <c r="M84" i="3"/>
  <c r="M85" i="3" a="1"/>
  <c r="M85" i="3"/>
  <c r="M86" i="3" a="1"/>
  <c r="M86" i="3"/>
  <c r="M87" i="3" a="1"/>
  <c r="M87" i="3" s="1"/>
  <c r="M88" i="3" a="1"/>
  <c r="M88" i="3"/>
  <c r="M89" i="3" a="1"/>
  <c r="M89" i="3"/>
  <c r="M90" i="3" a="1"/>
  <c r="M90" i="3"/>
  <c r="M91" i="3" a="1"/>
  <c r="M91" i="3"/>
  <c r="M92" i="3" a="1"/>
  <c r="M92" i="3"/>
  <c r="M93" i="3" a="1"/>
  <c r="M93" i="3"/>
  <c r="M94" i="3" a="1"/>
  <c r="M94" i="3"/>
  <c r="M95" i="3" a="1"/>
  <c r="M95" i="3"/>
  <c r="M96" i="3" a="1"/>
  <c r="M96" i="3"/>
  <c r="M97" i="3" a="1"/>
  <c r="M97" i="3"/>
  <c r="M98" i="3" a="1"/>
  <c r="M98" i="3"/>
  <c r="M99" i="3" a="1"/>
  <c r="M99" i="3" s="1"/>
  <c r="M100" i="3" a="1"/>
  <c r="M100" i="3"/>
  <c r="M101" i="3" a="1"/>
  <c r="M101" i="3"/>
  <c r="M102" i="3" a="1"/>
  <c r="M102" i="3"/>
  <c r="M103" i="3" a="1"/>
  <c r="M103" i="3"/>
  <c r="M104" i="3" a="1"/>
  <c r="M104" i="3"/>
  <c r="M105" i="3" a="1"/>
  <c r="M105" i="3"/>
  <c r="M106" i="3" a="1"/>
  <c r="M106" i="3"/>
  <c r="M107" i="3" a="1"/>
  <c r="M107" i="3"/>
  <c r="M108" i="3" a="1"/>
  <c r="M108" i="3"/>
  <c r="M109" i="3" a="1"/>
  <c r="M109" i="3"/>
  <c r="M110" i="3" a="1"/>
  <c r="M110" i="3"/>
  <c r="M111" i="3" a="1"/>
  <c r="M111" i="3" s="1"/>
  <c r="M112" i="3" a="1"/>
  <c r="M112" i="3"/>
  <c r="M113" i="3" a="1"/>
  <c r="M113" i="3"/>
  <c r="M114" i="3" a="1"/>
  <c r="M114" i="3"/>
  <c r="M115" i="3" a="1"/>
  <c r="M115" i="3"/>
  <c r="M116" i="3" a="1"/>
  <c r="M116" i="3" s="1"/>
  <c r="M117" i="3" a="1"/>
  <c r="M117" i="3"/>
  <c r="M118" i="3" a="1"/>
  <c r="M118" i="3"/>
  <c r="M119" i="3" a="1"/>
  <c r="M119" i="3"/>
  <c r="M120" i="3" a="1"/>
  <c r="M120" i="3" s="1"/>
  <c r="M121" i="3" a="1"/>
  <c r="M121" i="3"/>
  <c r="M2" i="3" a="1"/>
  <c r="M2" i="3" s="1"/>
  <c r="L3" i="3"/>
  <c r="L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102" i="3"/>
  <c r="L103" i="3"/>
  <c r="L104" i="3"/>
  <c r="L105" i="3"/>
  <c r="L106" i="3"/>
  <c r="L107" i="3"/>
  <c r="L108" i="3"/>
  <c r="L109" i="3"/>
  <c r="L110" i="3"/>
  <c r="L111" i="3"/>
  <c r="L112" i="3"/>
  <c r="L113" i="3"/>
  <c r="L114" i="3"/>
  <c r="L115" i="3"/>
  <c r="L116" i="3"/>
  <c r="L117" i="3"/>
  <c r="L118" i="3"/>
  <c r="L119" i="3"/>
  <c r="L120" i="3"/>
  <c r="L121" i="3"/>
  <c r="L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<sst xmlns="http://schemas.openxmlformats.org/spreadsheetml/2006/main" count="1598" uniqueCount="128">
  <si>
    <t>Sale_ID</t>
  </si>
  <si>
    <t>Date</t>
  </si>
  <si>
    <t>Customer</t>
  </si>
  <si>
    <t>Product</t>
  </si>
  <si>
    <t>Category</t>
  </si>
  <si>
    <t>Quantity</t>
  </si>
  <si>
    <t>Unit_Price</t>
  </si>
  <si>
    <t>Region</t>
  </si>
  <si>
    <t>Salesperson</t>
  </si>
  <si>
    <t>Status</t>
  </si>
  <si>
    <t>Revenue</t>
  </si>
  <si>
    <t>Juan Pérez</t>
  </si>
  <si>
    <t>Miguel Flores</t>
  </si>
  <si>
    <t>Mariana Torres</t>
  </si>
  <si>
    <t>Diego Ramírez</t>
  </si>
  <si>
    <t>Valeria Gómez</t>
  </si>
  <si>
    <t>Carlos García</t>
  </si>
  <si>
    <t>Fernando Ruiz</t>
  </si>
  <si>
    <t>Ana López</t>
  </si>
  <si>
    <t>Juan  Pérez</t>
  </si>
  <si>
    <t>Luis Sánchez</t>
  </si>
  <si>
    <t>Sofía Hernández</t>
  </si>
  <si>
    <t xml:space="preserve">Mariana Torres </t>
  </si>
  <si>
    <t>Laura Martínez</t>
  </si>
  <si>
    <t>Daniela Castro</t>
  </si>
  <si>
    <t xml:space="preserve">  Ana López  </t>
  </si>
  <si>
    <t>Webcam</t>
  </si>
  <si>
    <t>Teclado</t>
  </si>
  <si>
    <t>Monitor</t>
  </si>
  <si>
    <t>Mouse</t>
  </si>
  <si>
    <t>Audífonos</t>
  </si>
  <si>
    <t>Laptop</t>
  </si>
  <si>
    <t>Accesorios</t>
  </si>
  <si>
    <t>Computación</t>
  </si>
  <si>
    <t>5500</t>
  </si>
  <si>
    <t>Sur</t>
  </si>
  <si>
    <t>Occidente</t>
  </si>
  <si>
    <t>Centro</t>
  </si>
  <si>
    <t>Norte</t>
  </si>
  <si>
    <t xml:space="preserve">Occidente </t>
  </si>
  <si>
    <t xml:space="preserve"> Centro </t>
  </si>
  <si>
    <t>Roberto</t>
  </si>
  <si>
    <t>Sofía</t>
  </si>
  <si>
    <t>Luis</t>
  </si>
  <si>
    <t>Andrea</t>
  </si>
  <si>
    <t xml:space="preserve">Completado </t>
  </si>
  <si>
    <t>Completado</t>
  </si>
  <si>
    <t>Cancelado</t>
  </si>
  <si>
    <t>Pendiente</t>
  </si>
  <si>
    <t>#</t>
  </si>
  <si>
    <t>Question</t>
  </si>
  <si>
    <t>Tool I think I’ll use</t>
  </si>
  <si>
    <t>Result / Answer</t>
  </si>
  <si>
    <t>Notes</t>
  </si>
  <si>
    <t>How many records are in the dataset?</t>
  </si>
  <si>
    <t>COUNT</t>
  </si>
  <si>
    <t>120 records</t>
  </si>
  <si>
    <t>How many different customers, products, regions, and sellers are listed?</t>
  </si>
  <si>
    <t>Customer_Clean</t>
  </si>
  <si>
    <t>Pivot Tables</t>
  </si>
  <si>
    <t>Region_Clean</t>
  </si>
  <si>
    <t>Product_Clean</t>
  </si>
  <si>
    <t>12 customers, 6 products, 4 regions &amp; 4 salespersons</t>
  </si>
  <si>
    <t>Do you notice any data quality issues just by looking at the data?</t>
  </si>
  <si>
    <t>I detected extra or inconsistent spaces in some values from the Customer, Region, and Product columns. The Date column is displayed with a 12:00 AM time component even though the analysis only requires dates. I also found one Unit_Price value stored as text instead of as a numeric value.</t>
  </si>
  <si>
    <t>Correct any problems you find in text and data types using the tools you already know. Briefly note what problems you found and how you solved them.</t>
  </si>
  <si>
    <t>Some values in the Customer, Product, Region &amp; Salesperson columns contained extra whitespace, so I cleaned them using the TRIM function. In addition, I converted one value in the Unit_Price column from text to a numeric value</t>
  </si>
  <si>
    <t>Month</t>
  </si>
  <si>
    <t>Sale_Size</t>
  </si>
  <si>
    <t>Total Revenue</t>
  </si>
  <si>
    <t>Average Revenue</t>
  </si>
  <si>
    <t>Total Revenue?</t>
  </si>
  <si>
    <t>Etiquetas de fila</t>
  </si>
  <si>
    <t>Total general</t>
  </si>
  <si>
    <t>Status_Clean</t>
  </si>
  <si>
    <t>Pivot Tables, Sum</t>
  </si>
  <si>
    <t>Pivot Tables, Avg</t>
  </si>
  <si>
    <t>Number of completed, canceled, and pending sales</t>
  </si>
  <si>
    <t xml:space="preserve">How much revenue did each salesperson generate? </t>
  </si>
  <si>
    <t xml:space="preserve">Who generated the most? </t>
  </si>
  <si>
    <t>Do they all have roughly the same number of transactions?</t>
  </si>
  <si>
    <t>66 completed, 31 canceled &amp; 23 pending</t>
  </si>
  <si>
    <t>Roberto $257,400, Andrea $231,800, Sofía $138,400 &amp; Luis $102,100</t>
  </si>
  <si>
    <t>Cuenta de Sale_ID</t>
  </si>
  <si>
    <t>Roberto generated the most</t>
  </si>
  <si>
    <t xml:space="preserve">How much revenue does each region account for? </t>
  </si>
  <si>
    <t xml:space="preserve">Which region has the most completed sales? </t>
  </si>
  <si>
    <t>Is there any region with a notably high proportion of cancellations?</t>
  </si>
  <si>
    <t>South region has the most completed sales</t>
  </si>
  <si>
    <t>North with $201,100, West with $145,200, Center with $112,400, South with $271,000</t>
  </si>
  <si>
    <t>The South region has the highest cancellation rate at 31.25%, followed by West at 26.92%. This suggest that cancellations are relatively more frequent in the South than in other regions.</t>
  </si>
  <si>
    <t xml:space="preserve">Which product generated the most revenue? </t>
  </si>
  <si>
    <t xml:space="preserve">Which one sold the most units? </t>
  </si>
  <si>
    <t>Are they necessarily the same product? Explain why.</t>
  </si>
  <si>
    <t>Suma de Quantity</t>
  </si>
  <si>
    <t>Laptops generated the most revenue at $435,000</t>
  </si>
  <si>
    <t>Webcams had the highest number of units sold</t>
  </si>
  <si>
    <t>No, they are different products. This happens because laptops have a much higher unit price, so fewer units are needed to generate more revenue.</t>
  </si>
  <si>
    <t>How much revenue did completed sales in the Central region generate?</t>
  </si>
  <si>
    <t xml:space="preserve">How many were there? </t>
  </si>
  <si>
    <t>What was the average revenue per sale?</t>
  </si>
  <si>
    <t>The Central region generated a revenue of $38,800.</t>
  </si>
  <si>
    <t>They were 15 completed sales in the Central region</t>
  </si>
  <si>
    <t>The number of sales increased from 30 in January to a peak of 49 in February, then decreased slightly to 41 in March.</t>
  </si>
  <si>
    <t>Pivot Tables &amp; Pivot Charts</t>
  </si>
  <si>
    <t>How did monthly sales change over time?</t>
  </si>
  <si>
    <t>Which salesperson sold the highest number of webcams in the North region?</t>
  </si>
  <si>
    <t>Pivot Tables &amp; XLOOKUP</t>
  </si>
  <si>
    <t>Sofía sold the highest number of webcams in the North region, with 7 units sold.</t>
  </si>
  <si>
    <t>Note: The filtered list shows canceled sales with revenue greater than $1,000</t>
  </si>
  <si>
    <t>Average Revenue per Sale</t>
  </si>
  <si>
    <t>Cancellation Rate</t>
  </si>
  <si>
    <t>Suma de Revenue</t>
  </si>
  <si>
    <t>ene</t>
  </si>
  <si>
    <t>feb</t>
  </si>
  <si>
    <t>mar</t>
  </si>
  <si>
    <t>Write down 3 insights you would share with someone in the business</t>
  </si>
  <si>
    <t>45% of all sales are either cancelled or pending, so it would be useful to check why such a large number of transactions are not being completed.</t>
  </si>
  <si>
    <t>Webcams had the highest number of units sold, but they generated much less revenue than laptops and monitors. It would be worth checking if there is any opportunity to improve their revenue.</t>
  </si>
  <si>
    <t>Luis generated the lowest total revenue among all salespeople. His sales should be reviewed to understand if this is due to fewer transactions, lower-value sales, or another reason.</t>
  </si>
  <si>
    <t>Actually used COUNTA with UNIQUE to get them.                I detected extra spaces that were affecting the count of unique values.</t>
  </si>
  <si>
    <t>The average revenue per sale was $2,587</t>
  </si>
  <si>
    <t>Sofia had the highest number of transactions, but her average transaction value was much lower. Roberto and Andrea had average transaction values of around $8,000, almost twice those of Sofia and Luis, which explains why they generated more revenue with a similar number of operations.</t>
  </si>
  <si>
    <t>Top Webcam Salesperson - North</t>
  </si>
  <si>
    <t>Filtered Sales: Cancelled with Revenue &gt; $1000</t>
  </si>
  <si>
    <t>Webcam Sales by Salesperson - North Region</t>
  </si>
  <si>
    <t>Revenue by Salesperson</t>
  </si>
  <si>
    <t>Revenue and Quantity by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</si>
</sst>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Red]\-&quot;$&quot;#,##0"/>
    <numFmt numFmtId="8" formatCode="&quot;$&quot;#,##0.00;[Red]\-&quot;$&quot;#,##0.00"/>
    <numFmt numFmtId="164" formatCode="yyyy\-mm\-dd\ hh:mm:ss"/>
    <numFmt numFmtId="165" formatCode="&quot;$&quot;#,##0"/>
    <numFmt numFmtId="166" formatCode="&quot;$&quot;#,##0.0"/>
    <numFmt numFmtId="167" formatCode="[$-409]mmm"/>
  </numFmts>
  <fonts count="3" x14ac:knownFonts="1">
    <font>
      <sz val="11"/>
      <color theme="1"/>
      <name val="Calibri"/>
      <family val="2"/>
      <scheme val="minor"/>
    </font>
    <font>
      <b/>
      <sz val="11"/>
      <color theme="1"/>
      <name val="Calibri"/>
      <family val="2"/>
      <scheme val="minor"/>
    </font>
    <font>
      <i/>
      <sz val="11"/>
      <color theme="1"/>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47">
    <xf numFmtId="0" fontId="0" fillId="0" borderId="0" xfId="0"/>
    <xf numFmtId="0" fontId="1" fillId="0" borderId="1" xfId="0" applyFont="1" applyBorder="1" applyAlignment="1">
      <alignment horizontal="center" vertical="top"/>
    </xf>
    <xf numFmtId="164" fontId="0" fillId="0" borderId="0" xfId="0" applyNumberFormat="1"/>
    <xf numFmtId="0" fontId="1" fillId="0" borderId="0" xfId="0" applyFont="1"/>
    <xf numFmtId="0" fontId="1" fillId="2" borderId="1" xfId="0" applyFont="1" applyFill="1" applyBorder="1" applyAlignment="1">
      <alignment horizontal="center" vertical="top"/>
    </xf>
    <xf numFmtId="165" fontId="0" fillId="0" borderId="1" xfId="0" applyNumberFormat="1" applyBorder="1"/>
    <xf numFmtId="166" fontId="0" fillId="0" borderId="1" xfId="0" applyNumberFormat="1" applyBorder="1"/>
    <xf numFmtId="0" fontId="1" fillId="0" borderId="1" xfId="0" applyFont="1" applyBorder="1"/>
    <xf numFmtId="0" fontId="0" fillId="0" borderId="0" xfId="0" pivotButton="1"/>
    <xf numFmtId="0" fontId="0" fillId="0" borderId="0" xfId="0" applyAlignment="1">
      <alignment horizontal="left"/>
    </xf>
    <xf numFmtId="0" fontId="1" fillId="0" borderId="0" xfId="0" applyFont="1" applyAlignment="1">
      <alignment horizontal="center" vertical="top"/>
    </xf>
    <xf numFmtId="0" fontId="1" fillId="0" borderId="1" xfId="0" applyFont="1" applyBorder="1" applyAlignment="1">
      <alignment horizontal="center"/>
    </xf>
    <xf numFmtId="0" fontId="1" fillId="0" borderId="0" xfId="0" applyFont="1" applyAlignment="1">
      <alignment horizontal="center"/>
    </xf>
    <xf numFmtId="166" fontId="0" fillId="0" borderId="1" xfId="0" applyNumberFormat="1" applyBorder="1" applyAlignment="1">
      <alignment horizontal="center"/>
    </xf>
    <xf numFmtId="165" fontId="0" fillId="0" borderId="0" xfId="0" applyNumberFormat="1"/>
    <xf numFmtId="1" fontId="0" fillId="0" borderId="0" xfId="0" applyNumberFormat="1"/>
    <xf numFmtId="166" fontId="0" fillId="0" borderId="0" xfId="0" applyNumberFormat="1" applyAlignment="1">
      <alignment horizontal="right"/>
    </xf>
    <xf numFmtId="10" fontId="0" fillId="0" borderId="0" xfId="0" applyNumberFormat="1"/>
    <xf numFmtId="165" fontId="0" fillId="0" borderId="1" xfId="0" applyNumberFormat="1" applyBorder="1" applyAlignment="1">
      <alignment horizontal="center"/>
    </xf>
    <xf numFmtId="165" fontId="1" fillId="0" borderId="1" xfId="0" applyNumberFormat="1" applyFont="1" applyBorder="1" applyAlignment="1">
      <alignment horizontal="center"/>
    </xf>
    <xf numFmtId="10" fontId="0" fillId="0" borderId="1" xfId="0" applyNumberFormat="1" applyBorder="1" applyAlignment="1">
      <alignment horizontal="center"/>
    </xf>
    <xf numFmtId="167" fontId="0" fillId="0" borderId="0" xfId="0" applyNumberFormat="1" applyAlignment="1">
      <alignment horizontal="left"/>
    </xf>
    <xf numFmtId="0" fontId="0" fillId="0" borderId="0" xfId="0" applyAlignment="1">
      <alignment vertical="top" wrapText="1"/>
    </xf>
    <xf numFmtId="0" fontId="0" fillId="0" borderId="0" xfId="0" applyAlignment="1">
      <alignment wrapText="1"/>
    </xf>
    <xf numFmtId="0" fontId="0" fillId="0" borderId="0" xfId="0" applyAlignment="1">
      <alignment horizontal="center" vertical="center" wrapText="1"/>
    </xf>
    <xf numFmtId="0" fontId="0" fillId="0" borderId="0" xfId="0" applyAlignment="1">
      <alignment horizontal="left" vertical="top" wrapText="1"/>
    </xf>
    <xf numFmtId="0" fontId="1" fillId="3" borderId="3" xfId="0" applyFont="1" applyFill="1" applyBorder="1" applyAlignment="1">
      <alignment horizontal="center" vertical="center" wrapText="1"/>
    </xf>
    <xf numFmtId="0" fontId="1" fillId="3" borderId="4" xfId="0" applyFont="1" applyFill="1" applyBorder="1" applyAlignment="1">
      <alignment horizontal="left" vertical="top" wrapText="1"/>
    </xf>
    <xf numFmtId="0" fontId="1" fillId="3" borderId="4" xfId="0" applyFont="1" applyFill="1" applyBorder="1" applyAlignment="1">
      <alignment horizontal="center" vertical="top" wrapText="1"/>
    </xf>
    <xf numFmtId="0" fontId="1" fillId="3" borderId="5" xfId="0" applyFont="1" applyFill="1" applyBorder="1" applyAlignment="1">
      <alignment horizontal="left" vertical="top" wrapText="1"/>
    </xf>
    <xf numFmtId="0" fontId="1" fillId="0" borderId="6" xfId="0" applyFont="1" applyBorder="1" applyAlignment="1">
      <alignment horizontal="center" vertical="center"/>
    </xf>
    <xf numFmtId="0" fontId="0" fillId="0" borderId="7" xfId="0" applyBorder="1" applyAlignment="1">
      <alignment vertical="top" wrapText="1"/>
    </xf>
    <xf numFmtId="0" fontId="0" fillId="0" borderId="7" xfId="0" applyBorder="1" applyAlignment="1">
      <alignment wrapText="1"/>
    </xf>
    <xf numFmtId="0" fontId="1" fillId="0" borderId="8" xfId="0" applyFont="1" applyBorder="1" applyAlignment="1">
      <alignment horizontal="center" vertical="center"/>
    </xf>
    <xf numFmtId="0" fontId="0" fillId="0" borderId="2" xfId="0" applyBorder="1" applyAlignment="1">
      <alignment wrapText="1"/>
    </xf>
    <xf numFmtId="0" fontId="0" fillId="0" borderId="2" xfId="0" applyBorder="1" applyAlignment="1">
      <alignment horizontal="center" vertical="center" wrapText="1"/>
    </xf>
    <xf numFmtId="0" fontId="0" fillId="0" borderId="2" xfId="0" applyBorder="1" applyAlignment="1">
      <alignment horizontal="left" vertical="top" wrapText="1"/>
    </xf>
    <xf numFmtId="0" fontId="0" fillId="0" borderId="9" xfId="0" applyBorder="1" applyAlignment="1">
      <alignment wrapText="1"/>
    </xf>
    <xf numFmtId="6" fontId="0" fillId="0" borderId="0" xfId="0" applyNumberFormat="1" applyAlignment="1">
      <alignment horizontal="left" vertical="top" wrapText="1"/>
    </xf>
    <xf numFmtId="8" fontId="0" fillId="0" borderId="0" xfId="0" applyNumberFormat="1" applyAlignment="1">
      <alignment horizontal="left" vertical="top" wrapText="1"/>
    </xf>
    <xf numFmtId="0" fontId="1" fillId="0" borderId="1" xfId="0" applyFont="1" applyBorder="1" applyAlignment="1">
      <alignment horizontal="center"/>
    </xf>
    <xf numFmtId="0" fontId="2" fillId="0" borderId="0" xfId="0" applyFont="1" applyAlignment="1">
      <alignment horizontal="center"/>
    </xf>
    <xf numFmtId="0" fontId="1" fillId="0" borderId="3" xfId="0" applyFont="1" applyBorder="1" applyAlignment="1">
      <alignment horizontal="center"/>
    </xf>
    <xf numFmtId="0" fontId="1" fillId="0" borderId="5" xfId="0" applyFont="1" applyBorder="1" applyAlignment="1">
      <alignment horizontal="center"/>
    </xf>
    <xf numFmtId="0" fontId="0" fillId="0" borderId="3" xfId="0" applyBorder="1" applyAlignment="1">
      <alignment horizontal="center"/>
    </xf>
    <xf numFmtId="0" fontId="0" fillId="0" borderId="5" xfId="0" applyBorder="1" applyAlignment="1">
      <alignment horizontal="center"/>
    </xf>
    <xf numFmtId="0" fontId="1" fillId="0" borderId="0" xfId="0" applyFont="1" applyAlignment="1">
      <alignment horizontal="center"/>
    </xf>
  </cellXfs>
  <cellStyles count="1">
    <cellStyle name="Normal" xfId="0" builtinId="0"/>
  </cellStyles>
  <dxfs count="3">
    <dxf>
      <numFmt numFmtId="165" formatCode="&quot;$&quot;#,##0"/>
    </dxf>
    <dxf>
      <numFmt numFmtId="1" formatCode="0"/>
    </dxf>
    <dxf>
      <numFmt numFmtId="165" formatCode="&quot;$&quot;#,##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[excel-sales-analysis-practice.xlsx]Dashboard!TablaDinámica2</c:name>
    <c:fmtId val="0"/>
  </c:pivotSource>
  <c:chart>
    <c:title>
      <c:tx>
        <c:rich>
          <a:bodyPr rot="0" spcFirstLastPara="1" vertOverflow="ellipsis" vert="horz" wrap="square" anchor="ctr" anchorCtr="1"/>
          <a:lstStyle/>
          <a:p>
            <a:pPr>
              <a:defRPr sz="1600" b="1" i="0" u="none" strike="noStrike" kern="1200" cap="none" spc="20" baseline="0">
                <a:solidFill>
                  <a:schemeClr val="tx1">
                    <a:lumMod val="50000"/>
                    <a:lumOff val="50000"/>
                  </a:schemeClr>
                </a:solidFill>
                <a:latin typeface="+mn-lt"/>
                <a:ea typeface="+mn-ea"/>
                <a:cs typeface="+mn-cs"/>
              </a:defRPr>
            </a:pPr>
            <a:r>
              <a:rPr lang="en-US" sz="1600" b="1"/>
              <a:t>Revenue</a:t>
            </a:r>
            <a:r>
              <a:rPr lang="en-US" sz="1600" b="1" baseline="0"/>
              <a:t> by Product</a:t>
            </a:r>
            <a:endParaRPr lang="en-US" sz="1600" b="1"/>
          </a:p>
        </c:rich>
      </c:tx>
      <c:overlay val="0"/>
      <c:spPr>
        <a:noFill/>
        <a:ln>
          <a:noFill/>
        </a:ln>
        <a:effectLst/>
      </c:spPr>
      <c:txPr>
        <a:bodyPr rot="0" spcFirstLastPara="1" vertOverflow="ellipsis" vert="horz" wrap="square" anchor="ctr" anchorCtr="1"/>
        <a:lstStyle/>
        <a:p>
          <a:pPr>
            <a:defRPr sz="1600" b="1" i="0" u="none" strike="noStrike" kern="1200" cap="none" spc="20" baseline="0">
              <a:solidFill>
                <a:schemeClr val="tx1">
                  <a:lumMod val="50000"/>
                  <a:lumOff val="50000"/>
                </a:schemeClr>
              </a:solidFill>
              <a:latin typeface="+mn-lt"/>
              <a:ea typeface="+mn-ea"/>
              <a:cs typeface="+mn-cs"/>
            </a:defRPr>
          </a:pPr>
          <a:endParaRPr lang="es-MX"/>
        </a:p>
      </c:txPr>
    </c:title>
    <c:autoTitleDeleted val="0"/>
    <c:pivotFmts>
      <c:pivotFmt>
        <c:idx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MX"/>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outerShdw blurRad="40000" dist="20000" dir="5400000" rotWithShape="0">
              <a:srgbClr val="000000">
                <a:alpha val="38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fld id="{FB513DA7-2BA0-4BC1-9F56-1A7E90903507}" type="VALUE">
                  <a:rPr lang="en-US" baseline="0"/>
                  <a:pPr>
                    <a:defRPr/>
                  </a:pPr>
                  <a:t>[VALOR]</a:t>
                </a:fld>
                <a:endParaRPr lang="es-MX"/>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MX"/>
            </a:p>
          </c:txPr>
          <c:showLegendKey val="1"/>
          <c:showVal val="1"/>
          <c:showCatName val="1"/>
          <c:showSerName val="1"/>
          <c:showPercent val="1"/>
          <c:showBubbleSize val="1"/>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7.3129034694137965E-2"/>
          <c:y val="0.12559607544005322"/>
          <c:w val="0.88955148219808533"/>
          <c:h val="0.80069759058057577"/>
        </c:manualLayout>
      </c:layout>
      <c:barChart>
        <c:barDir val="bar"/>
        <c:grouping val="clustered"/>
        <c:varyColors val="0"/>
        <c:ser>
          <c:idx val="0"/>
          <c:order val="0"/>
          <c:tx>
            <c:strRef>
              <c:f>Dashboard!$C$21</c:f>
              <c:strCache>
                <c:ptCount val="1"/>
                <c:pt idx="0">
                  <c:v>Total</c:v>
                </c:pt>
              </c:strCache>
            </c:strRef>
          </c:tx>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outerShdw blurRad="40000" dist="20000" dir="5400000" rotWithShape="0">
                <a:srgbClr val="000000">
                  <a:alpha val="38000"/>
                </a:srgbClr>
              </a:outerShdw>
            </a:effectLst>
          </c:spPr>
          <c:invertIfNegative val="0"/>
          <c:dPt>
            <c:idx val="0"/>
            <c:invertIfNegative val="0"/>
            <c:bubble3D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0-ADB7-4B30-AACC-1382A256F912}"/>
              </c:ext>
            </c:extLst>
          </c:dPt>
          <c:dLbls>
            <c:dLbl>
              <c:idx val="0"/>
              <c:tx>
                <c:rich>
                  <a:bodyPr/>
                  <a:lstStyle/>
                  <a:p>
                    <a:fld id="{FB513DA7-2BA0-4BC1-9F56-1A7E90903507}" type="VALUE">
                      <a:rPr lang="en-US" baseline="0"/>
                      <a:pPr/>
                      <a:t>[VALOR]</a:t>
                    </a:fld>
                    <a:endParaRPr lang="es-MX"/>
                  </a:p>
                </c:rich>
              </c:tx>
              <c:showLegendKey val="1"/>
              <c:showVal val="1"/>
              <c:showCatName val="1"/>
              <c:showSerName val="1"/>
              <c:showPercent val="1"/>
              <c:showBubbleSize val="1"/>
              <c:extLst>
                <c:ext xmlns:c15="http://schemas.microsoft.com/office/drawing/2012/chart" uri="{CE6537A1-D6FC-4f65-9D91-7224C49458BB}">
                  <c15:dlblFieldTable/>
                  <c15:showDataLabelsRange val="0"/>
                </c:ext>
                <c:ext xmlns:c16="http://schemas.microsoft.com/office/drawing/2014/chart" uri="{C3380CC4-5D6E-409C-BE32-E72D297353CC}">
                  <c16:uniqueId val="{00000000-ADB7-4B30-AACC-1382A256F91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MX"/>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Dashboard!$B$22:$B$28</c:f>
              <c:strCache>
                <c:ptCount val="6"/>
                <c:pt idx="0">
                  <c:v>Laptop</c:v>
                </c:pt>
                <c:pt idx="1">
                  <c:v>Monitor</c:v>
                </c:pt>
                <c:pt idx="2">
                  <c:v>Webcam</c:v>
                </c:pt>
                <c:pt idx="3">
                  <c:v>Audífonos</c:v>
                </c:pt>
                <c:pt idx="4">
                  <c:v>Teclado</c:v>
                </c:pt>
                <c:pt idx="5">
                  <c:v>Mouse</c:v>
                </c:pt>
              </c:strCache>
            </c:strRef>
          </c:cat>
          <c:val>
            <c:numRef>
              <c:f>Dashboard!$C$22:$C$28</c:f>
              <c:numCache>
                <c:formatCode>"$"#,##0</c:formatCode>
                <c:ptCount val="6"/>
                <c:pt idx="0">
                  <c:v>435000</c:v>
                </c:pt>
                <c:pt idx="1">
                  <c:v>159500</c:v>
                </c:pt>
                <c:pt idx="2">
                  <c:v>54600</c:v>
                </c:pt>
                <c:pt idx="3">
                  <c:v>33600</c:v>
                </c:pt>
                <c:pt idx="4">
                  <c:v>27000</c:v>
                </c:pt>
                <c:pt idx="5">
                  <c:v>20000</c:v>
                </c:pt>
              </c:numCache>
            </c:numRef>
          </c:val>
          <c:extLst>
            <c:ext xmlns:c16="http://schemas.microsoft.com/office/drawing/2014/chart" uri="{C3380CC4-5D6E-409C-BE32-E72D297353CC}">
              <c16:uniqueId val="{00000000-4B8A-4C22-BCCE-426910DE03E2}"/>
            </c:ext>
          </c:extLst>
        </c:ser>
        <c:dLbls>
          <c:dLblPos val="inEnd"/>
          <c:showLegendKey val="0"/>
          <c:showVal val="1"/>
          <c:showCatName val="0"/>
          <c:showSerName val="0"/>
          <c:showPercent val="0"/>
          <c:showBubbleSize val="0"/>
        </c:dLbls>
        <c:gapWidth val="100"/>
        <c:axId val="101461503"/>
        <c:axId val="101459583"/>
      </c:barChart>
      <c:catAx>
        <c:axId val="10146150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MX"/>
          </a:p>
        </c:txPr>
        <c:crossAx val="101459583"/>
        <c:crosses val="autoZero"/>
        <c:auto val="1"/>
        <c:lblAlgn val="ctr"/>
        <c:lblOffset val="100"/>
        <c:noMultiLvlLbl val="0"/>
      </c:catAx>
      <c:valAx>
        <c:axId val="101459583"/>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MX"/>
          </a:p>
        </c:txPr>
        <c:crossAx val="101461503"/>
        <c:crosses val="max"/>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3"/>
    </mc:Choice>
    <mc:Fallback>
      <c:style val="3"/>
    </mc:Fallback>
  </mc:AlternateContent>
  <c:pivotSource>
    <c:name>[excel-sales-analysis-practice.xlsx]Dashboard!TablaDinámica3</c:name>
    <c:fmtId val="0"/>
  </c:pivotSource>
  <c:chart>
    <c:title>
      <c:tx>
        <c:rich>
          <a:bodyPr rot="0" spcFirstLastPara="1" vertOverflow="ellipsis" vert="horz" wrap="square" anchor="ctr" anchorCtr="1"/>
          <a:lstStyle/>
          <a:p>
            <a:pPr>
              <a:defRPr sz="1600" b="1" i="0" u="none" strike="noStrike" kern="1200" cap="none" spc="20" baseline="0">
                <a:solidFill>
                  <a:schemeClr val="dk1">
                    <a:lumMod val="50000"/>
                    <a:lumOff val="50000"/>
                  </a:schemeClr>
                </a:solidFill>
                <a:latin typeface="+mn-lt"/>
                <a:ea typeface="+mn-ea"/>
                <a:cs typeface="+mn-cs"/>
              </a:defRPr>
            </a:pPr>
            <a:r>
              <a:rPr lang="en-US" sz="1600" b="1"/>
              <a:t>Monthly Sales Trend</a:t>
            </a:r>
          </a:p>
        </c:rich>
      </c:tx>
      <c:layout>
        <c:manualLayout>
          <c:xMode val="edge"/>
          <c:yMode val="edge"/>
          <c:x val="0.36206793666111708"/>
          <c:y val="3.7804054737889906E-2"/>
        </c:manualLayout>
      </c:layout>
      <c:overlay val="0"/>
      <c:spPr>
        <a:noFill/>
        <a:ln>
          <a:noFill/>
        </a:ln>
        <a:effectLst/>
      </c:spPr>
      <c:txPr>
        <a:bodyPr rot="0" spcFirstLastPara="1" vertOverflow="ellipsis" vert="horz" wrap="square" anchor="ctr" anchorCtr="1"/>
        <a:lstStyle/>
        <a:p>
          <a:pPr>
            <a:defRPr sz="1600" b="1" i="0" u="none" strike="noStrike" kern="1200" cap="none" spc="20" baseline="0">
              <a:solidFill>
                <a:schemeClr val="dk1">
                  <a:lumMod val="50000"/>
                  <a:lumOff val="50000"/>
                </a:schemeClr>
              </a:solidFill>
              <a:latin typeface="+mn-lt"/>
              <a:ea typeface="+mn-ea"/>
              <a:cs typeface="+mn-cs"/>
            </a:defRPr>
          </a:pPr>
          <a:endParaRPr lang="es-MX"/>
        </a:p>
      </c:txPr>
    </c:title>
    <c:autoTitleDeleted val="0"/>
    <c:pivotFmts>
      <c:pivotFmt>
        <c:idx val="0"/>
        <c:spPr>
          <a:ln w="22225" cap="rnd" cmpd="sng" algn="ctr">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s-MX"/>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Dashboard!$C$33</c:f>
              <c:strCache>
                <c:ptCount val="1"/>
                <c:pt idx="0">
                  <c:v>Total</c:v>
                </c:pt>
              </c:strCache>
            </c:strRef>
          </c:tx>
          <c:spPr>
            <a:ln w="22225" cap="rnd" cmpd="sng" algn="ctr">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s-MX"/>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Dashboard!$B$34:$B$37</c:f>
              <c:strCache>
                <c:ptCount val="3"/>
                <c:pt idx="0">
                  <c:v>ene</c:v>
                </c:pt>
                <c:pt idx="1">
                  <c:v>feb</c:v>
                </c:pt>
                <c:pt idx="2">
                  <c:v>mar</c:v>
                </c:pt>
              </c:strCache>
            </c:strRef>
          </c:cat>
          <c:val>
            <c:numRef>
              <c:f>Dashboard!$C$34:$C$37</c:f>
              <c:numCache>
                <c:formatCode>General</c:formatCode>
                <c:ptCount val="3"/>
                <c:pt idx="0">
                  <c:v>30</c:v>
                </c:pt>
                <c:pt idx="1">
                  <c:v>49</c:v>
                </c:pt>
                <c:pt idx="2">
                  <c:v>41</c:v>
                </c:pt>
              </c:numCache>
            </c:numRef>
          </c:val>
          <c:smooth val="1"/>
          <c:extLst>
            <c:ext xmlns:c16="http://schemas.microsoft.com/office/drawing/2014/chart" uri="{C3380CC4-5D6E-409C-BE32-E72D297353CC}">
              <c16:uniqueId val="{00000000-018A-4845-92DB-F1B381D5BFFE}"/>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720016159"/>
        <c:axId val="720030559"/>
      </c:lineChart>
      <c:catAx>
        <c:axId val="720016159"/>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s-MX"/>
          </a:p>
        </c:txPr>
        <c:crossAx val="720030559"/>
        <c:crosses val="autoZero"/>
        <c:auto val="1"/>
        <c:lblAlgn val="ctr"/>
        <c:lblOffset val="100"/>
        <c:noMultiLvlLbl val="0"/>
      </c:catAx>
      <c:valAx>
        <c:axId val="7200305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s-MX"/>
          </a:p>
        </c:txPr>
        <c:crossAx val="7200161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dk1">
          <a:lumMod val="15000"/>
          <a:lumOff val="85000"/>
        </a:schemeClr>
      </a:solidFill>
      <a:round/>
    </a:ln>
    <a:effectLst/>
  </c:spPr>
  <c:txPr>
    <a:bodyPr/>
    <a:lstStyle/>
    <a:p>
      <a:pPr>
        <a:defRPr/>
      </a:pPr>
      <a:endParaRPr lang="es-MX"/>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735881</xdr:colOff>
      <xdr:row>4</xdr:row>
      <xdr:rowOff>183172</xdr:rowOff>
    </xdr:from>
    <xdr:to>
      <xdr:col>8</xdr:col>
      <xdr:colOff>197827</xdr:colOff>
      <xdr:row>24</xdr:row>
      <xdr:rowOff>65943</xdr:rowOff>
    </xdr:to>
    <xdr:graphicFrame macro="">
      <xdr:nvGraphicFramePr>
        <xdr:cNvPr id="3" name="Gráfico 2">
          <a:extLst>
            <a:ext uri="{FF2B5EF4-FFF2-40B4-BE49-F238E27FC236}">
              <a16:creationId xmlns:a16="http://schemas.microsoft.com/office/drawing/2014/main" id="{9F57AE34-F83B-437D-1592-90DD03FBF1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372080</xdr:colOff>
      <xdr:row>4</xdr:row>
      <xdr:rowOff>186102</xdr:rowOff>
    </xdr:from>
    <xdr:to>
      <xdr:col>16</xdr:col>
      <xdr:colOff>454270</xdr:colOff>
      <xdr:row>24</xdr:row>
      <xdr:rowOff>63012</xdr:rowOff>
    </xdr:to>
    <xdr:graphicFrame macro="">
      <xdr:nvGraphicFramePr>
        <xdr:cNvPr id="4" name="Gráfico 3">
          <a:extLst>
            <a:ext uri="{FF2B5EF4-FFF2-40B4-BE49-F238E27FC236}">
              <a16:creationId xmlns:a16="http://schemas.microsoft.com/office/drawing/2014/main" id="{33337CA4-820C-EF29-2EEC-E23F10ABF2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u BR" refreshedDate="46290.553637500001" createdVersion="8" refreshedVersion="8" minRefreshableVersion="3" recordCount="120" xr:uid="{3C2C37CC-9DBF-46A8-92A9-F403624FBC70}">
  <cacheSource type="worksheet">
    <worksheetSource ref="A1:M121" sheet="Analysis"/>
  </cacheSource>
  <cacheFields count="15">
    <cacheField name="Sale_ID" numFmtId="0">
      <sharedItems containsSemiMixedTypes="0" containsString="0" containsNumber="1" containsInteger="1" minValue="1001" maxValue="1120" count="120">
        <n v="1045"/>
        <n v="1048"/>
        <n v="1005"/>
        <n v="1056"/>
        <n v="1027"/>
        <n v="1065"/>
        <n v="1074"/>
        <n v="1011"/>
        <n v="1041"/>
        <n v="1108"/>
        <n v="1019"/>
        <n v="1063"/>
        <n v="1012"/>
        <n v="1037"/>
        <n v="1090"/>
        <n v="1092"/>
        <n v="1110"/>
        <n v="1001"/>
        <n v="1089"/>
        <n v="1105"/>
        <n v="1066"/>
        <n v="1046"/>
        <n v="1032"/>
        <n v="1071"/>
        <n v="1043"/>
        <n v="1013"/>
        <n v="1016"/>
        <n v="1115"/>
        <n v="1077"/>
        <n v="1098"/>
        <n v="1025"/>
        <n v="1079"/>
        <n v="1023"/>
        <n v="1097"/>
        <n v="1057"/>
        <n v="1111"/>
        <n v="1031"/>
        <n v="1054"/>
        <n v="1119"/>
        <n v="1010"/>
        <n v="1034"/>
        <n v="1026"/>
        <n v="1070"/>
        <n v="1029"/>
        <n v="1099"/>
        <n v="1086"/>
        <n v="1006"/>
        <n v="1091"/>
        <n v="1069"/>
        <n v="1040"/>
        <n v="1050"/>
        <n v="1036"/>
        <n v="1017"/>
        <n v="1067"/>
        <n v="1035"/>
        <n v="1114"/>
        <n v="1008"/>
        <n v="1044"/>
        <n v="1073"/>
        <n v="1068"/>
        <n v="1084"/>
        <n v="1028"/>
        <n v="1020"/>
        <n v="1096"/>
        <n v="1101"/>
        <n v="1009"/>
        <n v="1014"/>
        <n v="1085"/>
        <n v="1004"/>
        <n v="1018"/>
        <n v="1039"/>
        <n v="1118"/>
        <n v="1007"/>
        <n v="1078"/>
        <n v="1112"/>
        <n v="1095"/>
        <n v="1055"/>
        <n v="1051"/>
        <n v="1081"/>
        <n v="1047"/>
        <n v="1082"/>
        <n v="1062"/>
        <n v="1117"/>
        <n v="1080"/>
        <n v="1094"/>
        <n v="1042"/>
        <n v="1059"/>
        <n v="1049"/>
        <n v="1102"/>
        <n v="1058"/>
        <n v="1076"/>
        <n v="1033"/>
        <n v="1113"/>
        <n v="1060"/>
        <n v="1064"/>
        <n v="1106"/>
        <n v="1038"/>
        <n v="1030"/>
        <n v="1116"/>
        <n v="1002"/>
        <n v="1053"/>
        <n v="1022"/>
        <n v="1003"/>
        <n v="1024"/>
        <n v="1104"/>
        <n v="1100"/>
        <n v="1088"/>
        <n v="1109"/>
        <n v="1075"/>
        <n v="1087"/>
        <n v="1083"/>
        <n v="1120"/>
        <n v="1021"/>
        <n v="1061"/>
        <n v="1072"/>
        <n v="1107"/>
        <n v="1015"/>
        <n v="1093"/>
        <n v="1052"/>
        <n v="1103"/>
      </sharedItems>
    </cacheField>
    <cacheField name="Date" numFmtId="164">
      <sharedItems containsSemiMixedTypes="0" containsNonDate="0" containsDate="1" containsString="0" minDate="2026-01-05T00:00:00" maxDate="2026-04-01T00:00:00" count="64">
        <d v="2026-01-29T00:00:00"/>
        <d v="2026-02-21T00:00:00"/>
        <d v="2026-03-25T00:00:00"/>
        <d v="2026-02-05T00:00:00"/>
        <d v="2026-03-22T00:00:00"/>
        <d v="2026-01-10T00:00:00"/>
        <d v="2026-01-27T00:00:00"/>
        <d v="2026-02-07T00:00:00"/>
        <d v="2026-01-06T00:00:00"/>
        <d v="2026-02-23T00:00:00"/>
        <d v="2026-03-31T00:00:00"/>
        <d v="2026-02-15T00:00:00"/>
        <d v="2026-03-07T00:00:00"/>
        <d v="2026-03-04T00:00:00"/>
        <d v="2026-01-20T00:00:00"/>
        <d v="2026-02-02T00:00:00"/>
        <d v="2026-03-17T00:00:00"/>
        <d v="2026-03-21T00:00:00"/>
        <d v="2026-02-22T00:00:00"/>
        <d v="2026-02-03T00:00:00"/>
        <d v="2026-02-27T00:00:00"/>
        <d v="2026-01-28T00:00:00"/>
        <d v="2026-02-08T00:00:00"/>
        <d v="2026-01-05T00:00:00"/>
        <d v="2026-02-04T00:00:00"/>
        <d v="2026-02-17T00:00:00"/>
        <d v="2026-03-12T00:00:00"/>
        <d v="2026-02-09T00:00:00"/>
        <d v="2026-01-21T00:00:00"/>
        <d v="2026-02-20T00:00:00"/>
        <d v="2026-03-01T00:00:00"/>
        <d v="2026-03-08T00:00:00"/>
        <d v="2026-01-08T00:00:00"/>
        <d v="2026-03-09T00:00:00"/>
        <d v="2026-01-23T00:00:00"/>
        <d v="2026-02-28T00:00:00"/>
        <d v="2026-02-24T00:00:00"/>
        <d v="2026-03-30T00:00:00"/>
        <d v="2026-01-11T00:00:00"/>
        <d v="2026-02-01T00:00:00"/>
        <d v="2026-03-15T00:00:00"/>
        <d v="2026-01-31T00:00:00"/>
        <d v="2026-03-29T00:00:00"/>
        <d v="2026-03-20T00:00:00"/>
        <d v="2026-01-16T00:00:00"/>
        <d v="2026-02-11T00:00:00"/>
        <d v="2026-01-07T00:00:00"/>
        <d v="2026-03-23T00:00:00"/>
        <d v="2026-02-14T00:00:00"/>
        <d v="2026-03-02T00:00:00"/>
        <d v="2026-03-05T00:00:00"/>
        <d v="2026-02-06T00:00:00"/>
        <d v="2026-01-09T00:00:00"/>
        <d v="2026-03-06T00:00:00"/>
        <d v="2026-03-03T00:00:00"/>
        <d v="2026-02-10T00:00:00"/>
        <d v="2026-03-10T00:00:00"/>
        <d v="2026-01-12T00:00:00"/>
        <d v="2026-03-16T00:00:00"/>
        <d v="2026-03-14T00:00:00"/>
        <d v="2026-02-25T00:00:00"/>
        <d v="2026-03-24T00:00:00"/>
        <d v="2026-01-19T00:00:00"/>
        <d v="2026-02-18T00:00:00"/>
      </sharedItems>
      <fieldGroup par="14"/>
    </cacheField>
    <cacheField name="Customer_Clean" numFmtId="0">
      <sharedItems/>
    </cacheField>
    <cacheField name="Product_Clean" numFmtId="0">
      <sharedItems count="6">
        <s v="Webcam"/>
        <s v="Teclado"/>
        <s v="Monitor"/>
        <s v="Mouse"/>
        <s v="Audífonos"/>
        <s v="Laptop"/>
      </sharedItems>
    </cacheField>
    <cacheField name="Category" numFmtId="0">
      <sharedItems/>
    </cacheField>
    <cacheField name="Quantity" numFmtId="0">
      <sharedItems containsSemiMixedTypes="0" containsString="0" containsNumber="1" containsInteger="1" minValue="1" maxValue="3"/>
    </cacheField>
    <cacheField name="Unit_Price" numFmtId="0">
      <sharedItems containsSemiMixedTypes="0" containsString="0" containsNumber="1" containsInteger="1" minValue="500" maxValue="15000"/>
    </cacheField>
    <cacheField name="Region_Clean" numFmtId="0">
      <sharedItems count="4">
        <s v="Sur"/>
        <s v="Occidente"/>
        <s v="Centro"/>
        <s v="Norte"/>
      </sharedItems>
    </cacheField>
    <cacheField name="Salesperson" numFmtId="0">
      <sharedItems count="4">
        <s v="Roberto"/>
        <s v="Sofía"/>
        <s v="Luis"/>
        <s v="Andrea"/>
      </sharedItems>
    </cacheField>
    <cacheField name="Status_Clean" numFmtId="0">
      <sharedItems count="3">
        <s v="Completado"/>
        <s v="Cancelado"/>
        <s v="Pendiente"/>
      </sharedItems>
    </cacheField>
    <cacheField name="Revenue" numFmtId="0">
      <sharedItems containsSemiMixedTypes="0" containsString="0" containsNumber="1" containsInteger="1" minValue="500" maxValue="45000"/>
    </cacheField>
    <cacheField name="Month" numFmtId="0">
      <sharedItems containsSemiMixedTypes="0" containsString="0" containsNumber="1" containsInteger="1" minValue="1" maxValue="3"/>
    </cacheField>
    <cacheField name="Sale_Size" numFmtId="0">
      <sharedItems/>
    </cacheField>
    <cacheField name="Días (Date)" numFmtId="0" databaseField="0">
      <fieldGroup base="1">
        <rangePr groupBy="days" startDate="2026-01-05T00:00:00" endDate="2026-04-01T00:00:00"/>
        <groupItems count="368">
          <s v="&lt;05/01/2026"/>
          <s v="01-ene"/>
          <s v="02-ene"/>
          <s v="03-ene"/>
          <s v="04-ene"/>
          <s v="05-ene"/>
          <s v="06-ene"/>
          <s v="07-ene"/>
          <s v="08-ene"/>
          <s v="09-ene"/>
          <s v="10-ene"/>
          <s v="11-ene"/>
          <s v="12-ene"/>
          <s v="13-ene"/>
          <s v="14-ene"/>
          <s v="15-ene"/>
          <s v="16-ene"/>
          <s v="17-ene"/>
          <s v="18-ene"/>
          <s v="19-ene"/>
          <s v="20-ene"/>
          <s v="21-ene"/>
          <s v="22-ene"/>
          <s v="23-ene"/>
          <s v="24-ene"/>
          <s v="25-ene"/>
          <s v="26-ene"/>
          <s v="27-ene"/>
          <s v="28-ene"/>
          <s v="29-ene"/>
          <s v="30-ene"/>
          <s v="31-ene"/>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br"/>
          <s v="02-abr"/>
          <s v="03-abr"/>
          <s v="04-abr"/>
          <s v="05-abr"/>
          <s v="06-abr"/>
          <s v="07-abr"/>
          <s v="08-abr"/>
          <s v="09-abr"/>
          <s v="10-abr"/>
          <s v="11-abr"/>
          <s v="12-abr"/>
          <s v="13-abr"/>
          <s v="14-abr"/>
          <s v="15-abr"/>
          <s v="16-abr"/>
          <s v="17-abr"/>
          <s v="18-abr"/>
          <s v="19-abr"/>
          <s v="20-abr"/>
          <s v="21-abr"/>
          <s v="22-abr"/>
          <s v="23-abr"/>
          <s v="24-abr"/>
          <s v="25-abr"/>
          <s v="26-abr"/>
          <s v="27-abr"/>
          <s v="28-abr"/>
          <s v="29-abr"/>
          <s v="30-ab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go"/>
          <s v="02-ago"/>
          <s v="03-ago"/>
          <s v="04-ago"/>
          <s v="05-ago"/>
          <s v="06-ago"/>
          <s v="07-ago"/>
          <s v="08-ago"/>
          <s v="09-ago"/>
          <s v="10-ago"/>
          <s v="11-ago"/>
          <s v="12-ago"/>
          <s v="13-ago"/>
          <s v="14-ago"/>
          <s v="15-ago"/>
          <s v="16-ago"/>
          <s v="17-ago"/>
          <s v="18-ago"/>
          <s v="19-ago"/>
          <s v="20-ago"/>
          <s v="21-ago"/>
          <s v="22-ago"/>
          <s v="23-ago"/>
          <s v="24-ago"/>
          <s v="25-ago"/>
          <s v="26-ago"/>
          <s v="27-ago"/>
          <s v="28-ago"/>
          <s v="29-ago"/>
          <s v="30-ago"/>
          <s v="31-ago"/>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ic"/>
          <s v="02-dic"/>
          <s v="03-dic"/>
          <s v="04-dic"/>
          <s v="05-dic"/>
          <s v="06-dic"/>
          <s v="07-dic"/>
          <s v="08-dic"/>
          <s v="09-dic"/>
          <s v="10-dic"/>
          <s v="11-dic"/>
          <s v="12-dic"/>
          <s v="13-dic"/>
          <s v="14-dic"/>
          <s v="15-dic"/>
          <s v="16-dic"/>
          <s v="17-dic"/>
          <s v="18-dic"/>
          <s v="19-dic"/>
          <s v="20-dic"/>
          <s v="21-dic"/>
          <s v="22-dic"/>
          <s v="23-dic"/>
          <s v="24-dic"/>
          <s v="25-dic"/>
          <s v="26-dic"/>
          <s v="27-dic"/>
          <s v="28-dic"/>
          <s v="29-dic"/>
          <s v="30-dic"/>
          <s v="31-dic"/>
          <s v="&gt;01/04/2026"/>
        </groupItems>
      </fieldGroup>
    </cacheField>
    <cacheField name="Meses (Date)" numFmtId="0" databaseField="0">
      <fieldGroup base="1">
        <rangePr groupBy="months" startDate="2026-01-05T00:00:00" endDate="2026-04-01T00:00:00"/>
        <groupItems count="14">
          <s v="&lt;05/01/2026"/>
          <s v="ene"/>
          <s v="feb"/>
          <s v="mar"/>
          <s v="abr"/>
          <s v="may"/>
          <s v="jun"/>
          <s v="jul"/>
          <s v="ago"/>
          <s v="sep"/>
          <s v="oct"/>
          <s v="nov"/>
          <s v="dic"/>
          <s v="&gt;01/04/2026"/>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x v="0"/>
    <x v="0"/>
    <s v="Juan Pérez"/>
    <x v="0"/>
    <s v="Accesorios"/>
    <n v="2"/>
    <n v="1400"/>
    <x v="0"/>
    <x v="0"/>
    <x v="0"/>
    <n v="2800"/>
    <n v="1"/>
    <s v="Medium"/>
  </r>
  <r>
    <x v="1"/>
    <x v="1"/>
    <s v="Miguel Flores"/>
    <x v="1"/>
    <s v="Accesorios"/>
    <n v="1"/>
    <n v="900"/>
    <x v="1"/>
    <x v="1"/>
    <x v="0"/>
    <n v="900"/>
    <n v="2"/>
    <s v="Low"/>
  </r>
  <r>
    <x v="2"/>
    <x v="2"/>
    <s v="Mariana Torres"/>
    <x v="2"/>
    <s v="Computación"/>
    <n v="2"/>
    <n v="5500"/>
    <x v="0"/>
    <x v="1"/>
    <x v="1"/>
    <n v="11000"/>
    <n v="3"/>
    <s v="High"/>
  </r>
  <r>
    <x v="3"/>
    <x v="3"/>
    <s v="Diego Ramírez"/>
    <x v="3"/>
    <s v="Computación"/>
    <n v="1"/>
    <n v="5500"/>
    <x v="1"/>
    <x v="0"/>
    <x v="0"/>
    <n v="5500"/>
    <n v="2"/>
    <s v="Medium"/>
  </r>
  <r>
    <x v="4"/>
    <x v="4"/>
    <s v="Valeria Gómez"/>
    <x v="1"/>
    <s v="Accesorios"/>
    <n v="3"/>
    <n v="900"/>
    <x v="1"/>
    <x v="1"/>
    <x v="0"/>
    <n v="2700"/>
    <n v="3"/>
    <s v="Medium"/>
  </r>
  <r>
    <x v="5"/>
    <x v="5"/>
    <s v="Carlos García"/>
    <x v="3"/>
    <s v="Accesorios"/>
    <n v="2"/>
    <n v="500"/>
    <x v="2"/>
    <x v="1"/>
    <x v="1"/>
    <n v="1000"/>
    <n v="1"/>
    <s v="Low"/>
  </r>
  <r>
    <x v="6"/>
    <x v="6"/>
    <s v="Fernando Ruiz"/>
    <x v="4"/>
    <s v="Accesorios"/>
    <n v="2"/>
    <n v="1200"/>
    <x v="2"/>
    <x v="0"/>
    <x v="0"/>
    <n v="2400"/>
    <n v="1"/>
    <s v="Medium"/>
  </r>
  <r>
    <x v="7"/>
    <x v="7"/>
    <s v="Fernando Ruiz"/>
    <x v="2"/>
    <s v="Computación"/>
    <n v="1"/>
    <n v="5500"/>
    <x v="2"/>
    <x v="2"/>
    <x v="1"/>
    <n v="5500"/>
    <n v="2"/>
    <s v="Medium"/>
  </r>
  <r>
    <x v="8"/>
    <x v="8"/>
    <s v="Ana López"/>
    <x v="5"/>
    <s v="Computación"/>
    <n v="2"/>
    <n v="15000"/>
    <x v="0"/>
    <x v="0"/>
    <x v="1"/>
    <n v="30000"/>
    <n v="1"/>
    <s v="High"/>
  </r>
  <r>
    <x v="9"/>
    <x v="9"/>
    <s v="Miguel Flores"/>
    <x v="2"/>
    <s v="Computación"/>
    <n v="1"/>
    <n v="5500"/>
    <x v="0"/>
    <x v="3"/>
    <x v="1"/>
    <n v="5500"/>
    <n v="2"/>
    <s v="Medium"/>
  </r>
  <r>
    <x v="10"/>
    <x v="10"/>
    <s v="Juan Pérez"/>
    <x v="4"/>
    <s v="Accesorios"/>
    <n v="1"/>
    <n v="1200"/>
    <x v="1"/>
    <x v="3"/>
    <x v="1"/>
    <n v="1200"/>
    <n v="3"/>
    <s v="Low"/>
  </r>
  <r>
    <x v="11"/>
    <x v="11"/>
    <s v="Diego Ramírez"/>
    <x v="0"/>
    <s v="Accesorios"/>
    <n v="1"/>
    <n v="1400"/>
    <x v="1"/>
    <x v="0"/>
    <x v="1"/>
    <n v="1400"/>
    <n v="2"/>
    <s v="Low"/>
  </r>
  <r>
    <x v="12"/>
    <x v="12"/>
    <s v="Luis Sánchez"/>
    <x v="0"/>
    <s v="Accesorios"/>
    <n v="3"/>
    <n v="1400"/>
    <x v="3"/>
    <x v="2"/>
    <x v="1"/>
    <n v="4200"/>
    <n v="3"/>
    <s v="Medium"/>
  </r>
  <r>
    <x v="13"/>
    <x v="13"/>
    <s v="Carlos García"/>
    <x v="1"/>
    <s v="Accesorios"/>
    <n v="2"/>
    <n v="900"/>
    <x v="1"/>
    <x v="0"/>
    <x v="1"/>
    <n v="1800"/>
    <n v="3"/>
    <s v="Low"/>
  </r>
  <r>
    <x v="14"/>
    <x v="14"/>
    <s v="Sofía Hernández"/>
    <x v="0"/>
    <s v="Accesorios"/>
    <n v="2"/>
    <n v="1400"/>
    <x v="3"/>
    <x v="1"/>
    <x v="0"/>
    <n v="2800"/>
    <n v="1"/>
    <s v="Medium"/>
  </r>
  <r>
    <x v="15"/>
    <x v="11"/>
    <s v="Fernando Ruiz"/>
    <x v="5"/>
    <s v="Computación"/>
    <n v="2"/>
    <n v="15000"/>
    <x v="1"/>
    <x v="0"/>
    <x v="2"/>
    <n v="30000"/>
    <n v="2"/>
    <s v="High"/>
  </r>
  <r>
    <x v="16"/>
    <x v="15"/>
    <s v="Mariana Torres"/>
    <x v="4"/>
    <s v="Accesorios"/>
    <n v="2"/>
    <n v="1200"/>
    <x v="1"/>
    <x v="0"/>
    <x v="2"/>
    <n v="2400"/>
    <n v="2"/>
    <s v="Medium"/>
  </r>
  <r>
    <x v="17"/>
    <x v="16"/>
    <s v="Sofía Hernández"/>
    <x v="3"/>
    <s v="Accesorios"/>
    <n v="2"/>
    <n v="500"/>
    <x v="1"/>
    <x v="0"/>
    <x v="0"/>
    <n v="1000"/>
    <n v="3"/>
    <s v="Low"/>
  </r>
  <r>
    <x v="18"/>
    <x v="17"/>
    <s v="Mariana Torres"/>
    <x v="4"/>
    <s v="Accesorios"/>
    <n v="1"/>
    <n v="1200"/>
    <x v="1"/>
    <x v="2"/>
    <x v="0"/>
    <n v="1200"/>
    <n v="3"/>
    <s v="Low"/>
  </r>
  <r>
    <x v="19"/>
    <x v="18"/>
    <s v="Ana López"/>
    <x v="5"/>
    <s v="Computación"/>
    <n v="1"/>
    <n v="15000"/>
    <x v="3"/>
    <x v="0"/>
    <x v="0"/>
    <n v="15000"/>
    <n v="2"/>
    <s v="High"/>
  </r>
  <r>
    <x v="20"/>
    <x v="19"/>
    <s v="Mariana Torres"/>
    <x v="1"/>
    <s v="Accesorios"/>
    <n v="2"/>
    <n v="900"/>
    <x v="3"/>
    <x v="2"/>
    <x v="2"/>
    <n v="1800"/>
    <n v="2"/>
    <s v="Low"/>
  </r>
  <r>
    <x v="21"/>
    <x v="2"/>
    <s v="Valeria Gómez"/>
    <x v="2"/>
    <s v="Computación"/>
    <n v="1"/>
    <n v="5500"/>
    <x v="0"/>
    <x v="3"/>
    <x v="0"/>
    <n v="5500"/>
    <n v="3"/>
    <s v="Medium"/>
  </r>
  <r>
    <x v="22"/>
    <x v="20"/>
    <s v="Laura Martínez"/>
    <x v="2"/>
    <s v="Computación"/>
    <n v="1"/>
    <n v="5500"/>
    <x v="2"/>
    <x v="2"/>
    <x v="1"/>
    <n v="5500"/>
    <n v="2"/>
    <s v="Medium"/>
  </r>
  <r>
    <x v="23"/>
    <x v="14"/>
    <s v="Mariana Torres"/>
    <x v="1"/>
    <s v="Accesorios"/>
    <n v="2"/>
    <n v="900"/>
    <x v="3"/>
    <x v="0"/>
    <x v="0"/>
    <n v="1800"/>
    <n v="1"/>
    <s v="Low"/>
  </r>
  <r>
    <x v="24"/>
    <x v="1"/>
    <s v="Mariana Torres"/>
    <x v="5"/>
    <s v="Computación"/>
    <n v="1"/>
    <n v="15000"/>
    <x v="0"/>
    <x v="2"/>
    <x v="0"/>
    <n v="15000"/>
    <n v="2"/>
    <s v="High"/>
  </r>
  <r>
    <x v="25"/>
    <x v="21"/>
    <s v="Fernando Ruiz"/>
    <x v="4"/>
    <s v="Accesorios"/>
    <n v="1"/>
    <n v="1200"/>
    <x v="3"/>
    <x v="2"/>
    <x v="2"/>
    <n v="1200"/>
    <n v="1"/>
    <s v="Low"/>
  </r>
  <r>
    <x v="26"/>
    <x v="22"/>
    <s v="Ana López"/>
    <x v="1"/>
    <s v="Accesorios"/>
    <n v="1"/>
    <n v="900"/>
    <x v="1"/>
    <x v="3"/>
    <x v="0"/>
    <n v="900"/>
    <n v="2"/>
    <s v="Low"/>
  </r>
  <r>
    <x v="27"/>
    <x v="23"/>
    <s v="Sofía Hernández"/>
    <x v="2"/>
    <s v="Computación"/>
    <n v="1"/>
    <n v="5500"/>
    <x v="0"/>
    <x v="1"/>
    <x v="0"/>
    <n v="5500"/>
    <n v="1"/>
    <s v="Medium"/>
  </r>
  <r>
    <x v="28"/>
    <x v="3"/>
    <s v="Daniela Castro"/>
    <x v="2"/>
    <s v="Computación"/>
    <n v="1"/>
    <n v="5500"/>
    <x v="0"/>
    <x v="2"/>
    <x v="1"/>
    <n v="5500"/>
    <n v="2"/>
    <s v="Medium"/>
  </r>
  <r>
    <x v="29"/>
    <x v="24"/>
    <s v="Mariana Torres"/>
    <x v="3"/>
    <s v="Accesorios"/>
    <n v="2"/>
    <n v="500"/>
    <x v="3"/>
    <x v="2"/>
    <x v="1"/>
    <n v="1000"/>
    <n v="2"/>
    <s v="Low"/>
  </r>
  <r>
    <x v="30"/>
    <x v="25"/>
    <s v="Carlos García"/>
    <x v="3"/>
    <s v="Accesorios"/>
    <n v="2"/>
    <n v="500"/>
    <x v="2"/>
    <x v="0"/>
    <x v="1"/>
    <n v="1000"/>
    <n v="2"/>
    <s v="Low"/>
  </r>
  <r>
    <x v="31"/>
    <x v="26"/>
    <s v="Ana López"/>
    <x v="1"/>
    <s v="Accesorios"/>
    <n v="2"/>
    <n v="900"/>
    <x v="3"/>
    <x v="2"/>
    <x v="1"/>
    <n v="1800"/>
    <n v="3"/>
    <s v="Low"/>
  </r>
  <r>
    <x v="32"/>
    <x v="27"/>
    <s v="Laura Martínez"/>
    <x v="4"/>
    <s v="Accesorios"/>
    <n v="1"/>
    <n v="1200"/>
    <x v="1"/>
    <x v="1"/>
    <x v="2"/>
    <n v="1200"/>
    <n v="2"/>
    <s v="Low"/>
  </r>
  <r>
    <x v="33"/>
    <x v="28"/>
    <s v="Laura Martínez"/>
    <x v="4"/>
    <s v="Accesorios"/>
    <n v="1"/>
    <n v="1200"/>
    <x v="3"/>
    <x v="3"/>
    <x v="1"/>
    <n v="1200"/>
    <n v="1"/>
    <s v="Low"/>
  </r>
  <r>
    <x v="34"/>
    <x v="28"/>
    <s v="Luis Sánchez"/>
    <x v="1"/>
    <s v="Accesorios"/>
    <n v="1"/>
    <n v="900"/>
    <x v="3"/>
    <x v="3"/>
    <x v="0"/>
    <n v="900"/>
    <n v="1"/>
    <s v="Low"/>
  </r>
  <r>
    <x v="35"/>
    <x v="29"/>
    <s v="Valeria Gómez"/>
    <x v="2"/>
    <s v="Computación"/>
    <n v="1"/>
    <n v="5500"/>
    <x v="2"/>
    <x v="0"/>
    <x v="2"/>
    <n v="5500"/>
    <n v="2"/>
    <s v="Medium"/>
  </r>
  <r>
    <x v="36"/>
    <x v="30"/>
    <s v="Ana López"/>
    <x v="2"/>
    <s v="Computación"/>
    <n v="1"/>
    <n v="5500"/>
    <x v="1"/>
    <x v="3"/>
    <x v="0"/>
    <n v="5500"/>
    <n v="3"/>
    <s v="Medium"/>
  </r>
  <r>
    <x v="37"/>
    <x v="31"/>
    <s v="Sofía Hernández"/>
    <x v="1"/>
    <s v="Accesorios"/>
    <n v="2"/>
    <n v="900"/>
    <x v="0"/>
    <x v="1"/>
    <x v="0"/>
    <n v="1800"/>
    <n v="3"/>
    <s v="Low"/>
  </r>
  <r>
    <x v="38"/>
    <x v="3"/>
    <s v="Juan Pérez"/>
    <x v="3"/>
    <s v="Accesorios"/>
    <n v="3"/>
    <n v="500"/>
    <x v="0"/>
    <x v="1"/>
    <x v="0"/>
    <n v="1500"/>
    <n v="2"/>
    <s v="Low"/>
  </r>
  <r>
    <x v="39"/>
    <x v="32"/>
    <s v="Diego Ramírez"/>
    <x v="3"/>
    <s v="Accesorios"/>
    <n v="1"/>
    <n v="500"/>
    <x v="3"/>
    <x v="1"/>
    <x v="0"/>
    <n v="500"/>
    <n v="1"/>
    <s v="Low"/>
  </r>
  <r>
    <x v="40"/>
    <x v="30"/>
    <s v="Daniela Castro"/>
    <x v="0"/>
    <s v="Accesorios"/>
    <n v="2"/>
    <n v="1400"/>
    <x v="3"/>
    <x v="1"/>
    <x v="0"/>
    <n v="2800"/>
    <n v="3"/>
    <s v="Medium"/>
  </r>
  <r>
    <x v="41"/>
    <x v="12"/>
    <s v="Ana López"/>
    <x v="1"/>
    <s v="Accesorios"/>
    <n v="1"/>
    <n v="900"/>
    <x v="3"/>
    <x v="3"/>
    <x v="1"/>
    <n v="900"/>
    <n v="3"/>
    <s v="Low"/>
  </r>
  <r>
    <x v="42"/>
    <x v="33"/>
    <s v="Sofía Hernández"/>
    <x v="4"/>
    <s v="Accesorios"/>
    <n v="1"/>
    <n v="1200"/>
    <x v="2"/>
    <x v="3"/>
    <x v="2"/>
    <n v="1200"/>
    <n v="3"/>
    <s v="Low"/>
  </r>
  <r>
    <x v="43"/>
    <x v="3"/>
    <s v="Luis Sánchez"/>
    <x v="2"/>
    <s v="Computación"/>
    <n v="2"/>
    <n v="5500"/>
    <x v="3"/>
    <x v="2"/>
    <x v="0"/>
    <n v="11000"/>
    <n v="2"/>
    <s v="High"/>
  </r>
  <r>
    <x v="44"/>
    <x v="34"/>
    <s v="Laura Martínez"/>
    <x v="0"/>
    <s v="Accesorios"/>
    <n v="1"/>
    <n v="1400"/>
    <x v="2"/>
    <x v="1"/>
    <x v="0"/>
    <n v="1400"/>
    <n v="1"/>
    <s v="Low"/>
  </r>
  <r>
    <x v="45"/>
    <x v="35"/>
    <s v="Laura Martínez"/>
    <x v="0"/>
    <s v="Accesorios"/>
    <n v="2"/>
    <n v="1400"/>
    <x v="3"/>
    <x v="1"/>
    <x v="1"/>
    <n v="2800"/>
    <n v="2"/>
    <s v="Medium"/>
  </r>
  <r>
    <x v="46"/>
    <x v="36"/>
    <s v="Laura Martínez"/>
    <x v="3"/>
    <s v="Accesorios"/>
    <n v="1"/>
    <n v="500"/>
    <x v="3"/>
    <x v="3"/>
    <x v="0"/>
    <n v="500"/>
    <n v="2"/>
    <s v="Low"/>
  </r>
  <r>
    <x v="47"/>
    <x v="37"/>
    <s v="Carlos García"/>
    <x v="3"/>
    <s v="Accesorios"/>
    <n v="1"/>
    <n v="500"/>
    <x v="3"/>
    <x v="1"/>
    <x v="1"/>
    <n v="500"/>
    <n v="3"/>
    <s v="Low"/>
  </r>
  <r>
    <x v="48"/>
    <x v="1"/>
    <s v="Valeria Gómez"/>
    <x v="2"/>
    <s v="Computación"/>
    <n v="1"/>
    <n v="5500"/>
    <x v="0"/>
    <x v="3"/>
    <x v="0"/>
    <n v="5500"/>
    <n v="2"/>
    <s v="Medium"/>
  </r>
  <r>
    <x v="49"/>
    <x v="38"/>
    <s v="Miguel Flores"/>
    <x v="0"/>
    <s v="Accesorios"/>
    <n v="1"/>
    <n v="1400"/>
    <x v="0"/>
    <x v="0"/>
    <x v="0"/>
    <n v="1400"/>
    <n v="1"/>
    <s v="Low"/>
  </r>
  <r>
    <x v="50"/>
    <x v="19"/>
    <s v="Ana López"/>
    <x v="1"/>
    <s v="Accesorios"/>
    <n v="1"/>
    <n v="900"/>
    <x v="0"/>
    <x v="1"/>
    <x v="2"/>
    <n v="900"/>
    <n v="2"/>
    <s v="Low"/>
  </r>
  <r>
    <x v="51"/>
    <x v="13"/>
    <s v="Diego Ramírez"/>
    <x v="5"/>
    <s v="Computación"/>
    <n v="1"/>
    <n v="15000"/>
    <x v="0"/>
    <x v="3"/>
    <x v="1"/>
    <n v="15000"/>
    <n v="3"/>
    <s v="High"/>
  </r>
  <r>
    <x v="52"/>
    <x v="39"/>
    <s v="Laura Martínez"/>
    <x v="2"/>
    <s v="Computación"/>
    <n v="1"/>
    <n v="5500"/>
    <x v="3"/>
    <x v="2"/>
    <x v="0"/>
    <n v="5500"/>
    <n v="2"/>
    <s v="Medium"/>
  </r>
  <r>
    <x v="53"/>
    <x v="35"/>
    <s v="Fernando Ruiz"/>
    <x v="1"/>
    <s v="Accesorios"/>
    <n v="2"/>
    <n v="900"/>
    <x v="3"/>
    <x v="0"/>
    <x v="0"/>
    <n v="1800"/>
    <n v="2"/>
    <s v="Low"/>
  </r>
  <r>
    <x v="54"/>
    <x v="40"/>
    <s v="Diego Ramírez"/>
    <x v="0"/>
    <s v="Accesorios"/>
    <n v="2"/>
    <n v="1400"/>
    <x v="1"/>
    <x v="1"/>
    <x v="1"/>
    <n v="2800"/>
    <n v="3"/>
    <s v="Medium"/>
  </r>
  <r>
    <x v="55"/>
    <x v="41"/>
    <s v="Ana López"/>
    <x v="5"/>
    <s v="Computación"/>
    <n v="3"/>
    <n v="15000"/>
    <x v="3"/>
    <x v="3"/>
    <x v="0"/>
    <n v="45000"/>
    <n v="1"/>
    <s v="High"/>
  </r>
  <r>
    <x v="56"/>
    <x v="42"/>
    <s v="Ana López"/>
    <x v="2"/>
    <s v="Computación"/>
    <n v="2"/>
    <n v="5500"/>
    <x v="1"/>
    <x v="2"/>
    <x v="0"/>
    <n v="11000"/>
    <n v="3"/>
    <s v="High"/>
  </r>
  <r>
    <x v="57"/>
    <x v="43"/>
    <s v="Ana López"/>
    <x v="0"/>
    <s v="Accesorios"/>
    <n v="1"/>
    <n v="1400"/>
    <x v="0"/>
    <x v="2"/>
    <x v="1"/>
    <n v="1400"/>
    <n v="3"/>
    <s v="Low"/>
  </r>
  <r>
    <x v="58"/>
    <x v="17"/>
    <s v="Fernando Ruiz"/>
    <x v="0"/>
    <s v="Accesorios"/>
    <n v="2"/>
    <n v="5500"/>
    <x v="2"/>
    <x v="2"/>
    <x v="2"/>
    <n v="2800"/>
    <n v="3"/>
    <s v="Medium"/>
  </r>
  <r>
    <x v="59"/>
    <x v="44"/>
    <s v="Sofía Hernández"/>
    <x v="4"/>
    <s v="Accesorios"/>
    <n v="3"/>
    <n v="1200"/>
    <x v="3"/>
    <x v="0"/>
    <x v="0"/>
    <n v="3600"/>
    <n v="1"/>
    <s v="Medium"/>
  </r>
  <r>
    <x v="60"/>
    <x v="27"/>
    <s v="Fernando Ruiz"/>
    <x v="4"/>
    <s v="Accesorios"/>
    <n v="2"/>
    <n v="1200"/>
    <x v="3"/>
    <x v="3"/>
    <x v="0"/>
    <n v="2400"/>
    <n v="2"/>
    <s v="Medium"/>
  </r>
  <r>
    <x v="61"/>
    <x v="12"/>
    <s v="Sofía Hernández"/>
    <x v="0"/>
    <s v="Accesorios"/>
    <n v="1"/>
    <n v="1400"/>
    <x v="3"/>
    <x v="1"/>
    <x v="0"/>
    <n v="1400"/>
    <n v="3"/>
    <s v="Low"/>
  </r>
  <r>
    <x v="62"/>
    <x v="23"/>
    <s v="Sofía Hernández"/>
    <x v="1"/>
    <s v="Accesorios"/>
    <n v="2"/>
    <n v="900"/>
    <x v="2"/>
    <x v="1"/>
    <x v="0"/>
    <n v="1800"/>
    <n v="1"/>
    <s v="Low"/>
  </r>
  <r>
    <x v="63"/>
    <x v="45"/>
    <s v="Mariana Torres"/>
    <x v="4"/>
    <s v="Accesorios"/>
    <n v="2"/>
    <n v="1200"/>
    <x v="0"/>
    <x v="2"/>
    <x v="2"/>
    <n v="2400"/>
    <n v="2"/>
    <s v="Medium"/>
  </r>
  <r>
    <x v="64"/>
    <x v="46"/>
    <s v="Miguel Flores"/>
    <x v="4"/>
    <s v="Accesorios"/>
    <n v="1"/>
    <n v="1200"/>
    <x v="2"/>
    <x v="3"/>
    <x v="0"/>
    <n v="1200"/>
    <n v="1"/>
    <s v="Low"/>
  </r>
  <r>
    <x v="65"/>
    <x v="47"/>
    <s v="Ana López"/>
    <x v="3"/>
    <s v="Accesorios"/>
    <n v="2"/>
    <n v="500"/>
    <x v="0"/>
    <x v="0"/>
    <x v="0"/>
    <n v="1000"/>
    <n v="3"/>
    <s v="Low"/>
  </r>
  <r>
    <x v="66"/>
    <x v="48"/>
    <s v="Ana López"/>
    <x v="3"/>
    <s v="Accesorios"/>
    <n v="2"/>
    <n v="500"/>
    <x v="3"/>
    <x v="1"/>
    <x v="2"/>
    <n v="1000"/>
    <n v="2"/>
    <s v="Low"/>
  </r>
  <r>
    <x v="67"/>
    <x v="27"/>
    <s v="Juan Pérez"/>
    <x v="1"/>
    <s v="Accesorios"/>
    <n v="1"/>
    <n v="900"/>
    <x v="3"/>
    <x v="1"/>
    <x v="0"/>
    <n v="900"/>
    <n v="2"/>
    <s v="Low"/>
  </r>
  <r>
    <x v="68"/>
    <x v="18"/>
    <s v="Daniela Castro"/>
    <x v="3"/>
    <s v="Accesorios"/>
    <n v="1"/>
    <n v="500"/>
    <x v="1"/>
    <x v="1"/>
    <x v="2"/>
    <n v="500"/>
    <n v="2"/>
    <s v="Low"/>
  </r>
  <r>
    <x v="69"/>
    <x v="1"/>
    <s v="Laura Martínez"/>
    <x v="3"/>
    <s v="Accesorios"/>
    <n v="1"/>
    <n v="500"/>
    <x v="1"/>
    <x v="0"/>
    <x v="0"/>
    <n v="500"/>
    <n v="2"/>
    <s v="Low"/>
  </r>
  <r>
    <x v="70"/>
    <x v="49"/>
    <s v="Valeria Gómez"/>
    <x v="2"/>
    <s v="Computación"/>
    <n v="1"/>
    <n v="5500"/>
    <x v="2"/>
    <x v="1"/>
    <x v="0"/>
    <n v="5500"/>
    <n v="3"/>
    <s v="Medium"/>
  </r>
  <r>
    <x v="71"/>
    <x v="23"/>
    <s v="Mariana Torres"/>
    <x v="5"/>
    <s v="Computación"/>
    <n v="2"/>
    <n v="15000"/>
    <x v="3"/>
    <x v="3"/>
    <x v="0"/>
    <n v="30000"/>
    <n v="1"/>
    <s v="High"/>
  </r>
  <r>
    <x v="72"/>
    <x v="50"/>
    <s v="Juan Pérez"/>
    <x v="2"/>
    <s v="Computación"/>
    <n v="2"/>
    <n v="5500"/>
    <x v="2"/>
    <x v="3"/>
    <x v="0"/>
    <n v="11000"/>
    <n v="3"/>
    <s v="High"/>
  </r>
  <r>
    <x v="73"/>
    <x v="51"/>
    <s v="Ana López"/>
    <x v="3"/>
    <s v="Accesorios"/>
    <n v="1"/>
    <n v="500"/>
    <x v="3"/>
    <x v="1"/>
    <x v="0"/>
    <n v="500"/>
    <n v="2"/>
    <s v="Low"/>
  </r>
  <r>
    <x v="74"/>
    <x v="52"/>
    <s v="Laura Martínez"/>
    <x v="0"/>
    <s v="Accesorios"/>
    <n v="1"/>
    <n v="1400"/>
    <x v="0"/>
    <x v="3"/>
    <x v="0"/>
    <n v="1400"/>
    <n v="1"/>
    <s v="Low"/>
  </r>
  <r>
    <x v="75"/>
    <x v="9"/>
    <s v="Daniela Castro"/>
    <x v="4"/>
    <s v="Accesorios"/>
    <n v="1"/>
    <n v="1200"/>
    <x v="2"/>
    <x v="0"/>
    <x v="0"/>
    <n v="1200"/>
    <n v="2"/>
    <s v="Low"/>
  </r>
  <r>
    <x v="76"/>
    <x v="0"/>
    <s v="Fernando Ruiz"/>
    <x v="5"/>
    <s v="Computación"/>
    <n v="1"/>
    <n v="15000"/>
    <x v="1"/>
    <x v="0"/>
    <x v="0"/>
    <n v="15000"/>
    <n v="1"/>
    <s v="High"/>
  </r>
  <r>
    <x v="77"/>
    <x v="53"/>
    <s v="Mariana Torres"/>
    <x v="5"/>
    <s v="Computación"/>
    <n v="2"/>
    <n v="15000"/>
    <x v="0"/>
    <x v="1"/>
    <x v="1"/>
    <n v="30000"/>
    <n v="3"/>
    <s v="High"/>
  </r>
  <r>
    <x v="78"/>
    <x v="22"/>
    <s v="Laura Martínez"/>
    <x v="2"/>
    <s v="Computación"/>
    <n v="2"/>
    <n v="5500"/>
    <x v="3"/>
    <x v="0"/>
    <x v="0"/>
    <n v="11000"/>
    <n v="2"/>
    <s v="High"/>
  </r>
  <r>
    <x v="79"/>
    <x v="1"/>
    <s v="Carlos García"/>
    <x v="3"/>
    <s v="Accesorios"/>
    <n v="1"/>
    <n v="500"/>
    <x v="0"/>
    <x v="2"/>
    <x v="2"/>
    <n v="500"/>
    <n v="2"/>
    <s v="Low"/>
  </r>
  <r>
    <x v="80"/>
    <x v="7"/>
    <s v="Mariana Torres"/>
    <x v="4"/>
    <s v="Accesorios"/>
    <n v="1"/>
    <n v="1200"/>
    <x v="3"/>
    <x v="1"/>
    <x v="0"/>
    <n v="1200"/>
    <n v="2"/>
    <s v="Low"/>
  </r>
  <r>
    <x v="81"/>
    <x v="54"/>
    <s v="Diego Ramírez"/>
    <x v="0"/>
    <s v="Accesorios"/>
    <n v="1"/>
    <n v="1400"/>
    <x v="2"/>
    <x v="0"/>
    <x v="0"/>
    <n v="1400"/>
    <n v="3"/>
    <s v="Low"/>
  </r>
  <r>
    <x v="82"/>
    <x v="55"/>
    <s v="Fernando Ruiz"/>
    <x v="4"/>
    <s v="Accesorios"/>
    <n v="2"/>
    <n v="1200"/>
    <x v="2"/>
    <x v="1"/>
    <x v="2"/>
    <n v="2400"/>
    <n v="2"/>
    <s v="Medium"/>
  </r>
  <r>
    <x v="83"/>
    <x v="15"/>
    <s v="Miguel Flores"/>
    <x v="2"/>
    <s v="Computación"/>
    <n v="1"/>
    <n v="5500"/>
    <x v="1"/>
    <x v="0"/>
    <x v="1"/>
    <n v="5500"/>
    <n v="2"/>
    <s v="Medium"/>
  </r>
  <r>
    <x v="84"/>
    <x v="28"/>
    <s v="Diego Ramírez"/>
    <x v="5"/>
    <s v="Computación"/>
    <n v="1"/>
    <n v="15000"/>
    <x v="1"/>
    <x v="0"/>
    <x v="0"/>
    <n v="15000"/>
    <n v="1"/>
    <s v="High"/>
  </r>
  <r>
    <x v="85"/>
    <x v="3"/>
    <s v="Daniela Castro"/>
    <x v="3"/>
    <s v="Accesorios"/>
    <n v="2"/>
    <n v="500"/>
    <x v="1"/>
    <x v="3"/>
    <x v="2"/>
    <n v="1000"/>
    <n v="2"/>
    <s v="Low"/>
  </r>
  <r>
    <x v="86"/>
    <x v="50"/>
    <s v="Fernando Ruiz"/>
    <x v="2"/>
    <s v="Computación"/>
    <n v="1"/>
    <n v="5500"/>
    <x v="1"/>
    <x v="3"/>
    <x v="2"/>
    <n v="5500"/>
    <n v="3"/>
    <s v="Medium"/>
  </r>
  <r>
    <x v="87"/>
    <x v="36"/>
    <s v="Diego Ramírez"/>
    <x v="0"/>
    <s v="Accesorios"/>
    <n v="3"/>
    <n v="1400"/>
    <x v="0"/>
    <x v="1"/>
    <x v="2"/>
    <n v="4200"/>
    <n v="2"/>
    <s v="Medium"/>
  </r>
  <r>
    <x v="88"/>
    <x v="30"/>
    <s v="Ana López"/>
    <x v="3"/>
    <s v="Accesorios"/>
    <n v="1"/>
    <n v="500"/>
    <x v="2"/>
    <x v="3"/>
    <x v="2"/>
    <n v="500"/>
    <n v="3"/>
    <s v="Low"/>
  </r>
  <r>
    <x v="89"/>
    <x v="11"/>
    <s v="Laura Martínez"/>
    <x v="1"/>
    <s v="Accesorios"/>
    <n v="3"/>
    <n v="900"/>
    <x v="2"/>
    <x v="1"/>
    <x v="2"/>
    <n v="2700"/>
    <n v="2"/>
    <s v="Medium"/>
  </r>
  <r>
    <x v="90"/>
    <x v="32"/>
    <s v="Luis Sánchez"/>
    <x v="2"/>
    <s v="Computación"/>
    <n v="1"/>
    <n v="5500"/>
    <x v="0"/>
    <x v="1"/>
    <x v="2"/>
    <n v="5500"/>
    <n v="1"/>
    <s v="Medium"/>
  </r>
  <r>
    <x v="91"/>
    <x v="8"/>
    <s v="Sofía Hernández"/>
    <x v="5"/>
    <s v="Computación"/>
    <n v="1"/>
    <n v="15000"/>
    <x v="0"/>
    <x v="0"/>
    <x v="0"/>
    <n v="15000"/>
    <n v="1"/>
    <s v="High"/>
  </r>
  <r>
    <x v="92"/>
    <x v="18"/>
    <s v="Daniela Castro"/>
    <x v="0"/>
    <s v="Accesorios"/>
    <n v="1"/>
    <n v="1400"/>
    <x v="3"/>
    <x v="0"/>
    <x v="0"/>
    <n v="1400"/>
    <n v="2"/>
    <s v="Low"/>
  </r>
  <r>
    <x v="93"/>
    <x v="56"/>
    <s v="Luis Sánchez"/>
    <x v="3"/>
    <s v="Accesorios"/>
    <n v="2"/>
    <n v="500"/>
    <x v="0"/>
    <x v="0"/>
    <x v="1"/>
    <n v="1000"/>
    <n v="3"/>
    <s v="Low"/>
  </r>
  <r>
    <x v="94"/>
    <x v="57"/>
    <s v="Sofía Hernández"/>
    <x v="1"/>
    <s v="Accesorios"/>
    <n v="2"/>
    <n v="900"/>
    <x v="0"/>
    <x v="2"/>
    <x v="2"/>
    <n v="1800"/>
    <n v="1"/>
    <s v="Low"/>
  </r>
  <r>
    <x v="95"/>
    <x v="43"/>
    <s v="Miguel Flores"/>
    <x v="0"/>
    <s v="Accesorios"/>
    <n v="1"/>
    <n v="1400"/>
    <x v="2"/>
    <x v="2"/>
    <x v="0"/>
    <n v="1400"/>
    <n v="3"/>
    <s v="Low"/>
  </r>
  <r>
    <x v="96"/>
    <x v="58"/>
    <s v="Carlos García"/>
    <x v="1"/>
    <s v="Accesorios"/>
    <n v="1"/>
    <n v="900"/>
    <x v="3"/>
    <x v="3"/>
    <x v="1"/>
    <n v="900"/>
    <n v="3"/>
    <s v="Low"/>
  </r>
  <r>
    <x v="97"/>
    <x v="54"/>
    <s v="Carlos García"/>
    <x v="5"/>
    <s v="Computación"/>
    <n v="3"/>
    <n v="15000"/>
    <x v="0"/>
    <x v="0"/>
    <x v="0"/>
    <n v="45000"/>
    <n v="3"/>
    <s v="High"/>
  </r>
  <r>
    <x v="98"/>
    <x v="59"/>
    <s v="Sofía Hernández"/>
    <x v="0"/>
    <s v="Accesorios"/>
    <n v="2"/>
    <n v="1400"/>
    <x v="2"/>
    <x v="1"/>
    <x v="0"/>
    <n v="2800"/>
    <n v="3"/>
    <s v="Medium"/>
  </r>
  <r>
    <x v="99"/>
    <x v="21"/>
    <s v="Mariana Torres"/>
    <x v="1"/>
    <s v="Accesorios"/>
    <n v="1"/>
    <n v="900"/>
    <x v="2"/>
    <x v="3"/>
    <x v="0"/>
    <n v="900"/>
    <n v="1"/>
    <s v="Low"/>
  </r>
  <r>
    <x v="100"/>
    <x v="21"/>
    <s v="Ana López"/>
    <x v="3"/>
    <s v="Accesorios"/>
    <n v="1"/>
    <n v="500"/>
    <x v="2"/>
    <x v="3"/>
    <x v="2"/>
    <n v="500"/>
    <n v="1"/>
    <s v="Low"/>
  </r>
  <r>
    <x v="101"/>
    <x v="60"/>
    <s v="Carlos García"/>
    <x v="4"/>
    <s v="Accesorios"/>
    <n v="1"/>
    <n v="1200"/>
    <x v="2"/>
    <x v="3"/>
    <x v="0"/>
    <n v="1200"/>
    <n v="2"/>
    <s v="Low"/>
  </r>
  <r>
    <x v="102"/>
    <x v="33"/>
    <s v="Miguel Flores"/>
    <x v="2"/>
    <s v="Computación"/>
    <n v="2"/>
    <n v="5500"/>
    <x v="3"/>
    <x v="3"/>
    <x v="0"/>
    <n v="11000"/>
    <n v="3"/>
    <s v="High"/>
  </r>
  <r>
    <x v="103"/>
    <x v="11"/>
    <s v="Valeria Gómez"/>
    <x v="0"/>
    <s v="Accesorios"/>
    <n v="2"/>
    <n v="1400"/>
    <x v="3"/>
    <x v="0"/>
    <x v="0"/>
    <n v="2800"/>
    <n v="2"/>
    <s v="Medium"/>
  </r>
  <r>
    <x v="104"/>
    <x v="27"/>
    <s v="Mariana Torres"/>
    <x v="4"/>
    <s v="Accesorios"/>
    <n v="1"/>
    <n v="1200"/>
    <x v="1"/>
    <x v="2"/>
    <x v="1"/>
    <n v="1200"/>
    <n v="2"/>
    <s v="Low"/>
  </r>
  <r>
    <x v="105"/>
    <x v="54"/>
    <s v="Carlos García"/>
    <x v="4"/>
    <s v="Accesorios"/>
    <n v="2"/>
    <n v="1200"/>
    <x v="0"/>
    <x v="2"/>
    <x v="0"/>
    <n v="2400"/>
    <n v="3"/>
    <s v="Medium"/>
  </r>
  <r>
    <x v="106"/>
    <x v="34"/>
    <s v="Ana López"/>
    <x v="0"/>
    <s v="Accesorios"/>
    <n v="2"/>
    <n v="1400"/>
    <x v="0"/>
    <x v="2"/>
    <x v="0"/>
    <n v="2800"/>
    <n v="1"/>
    <s v="Medium"/>
  </r>
  <r>
    <x v="107"/>
    <x v="31"/>
    <s v="Ana López"/>
    <x v="5"/>
    <s v="Computación"/>
    <n v="2"/>
    <n v="15000"/>
    <x v="3"/>
    <x v="3"/>
    <x v="0"/>
    <n v="30000"/>
    <n v="3"/>
    <s v="High"/>
  </r>
  <r>
    <x v="108"/>
    <x v="60"/>
    <s v="Fernando Ruiz"/>
    <x v="4"/>
    <s v="Accesorios"/>
    <n v="2"/>
    <n v="1200"/>
    <x v="2"/>
    <x v="1"/>
    <x v="0"/>
    <n v="2400"/>
    <n v="2"/>
    <s v="Medium"/>
  </r>
  <r>
    <x v="109"/>
    <x v="12"/>
    <s v="Carlos García"/>
    <x v="5"/>
    <s v="Computación"/>
    <n v="3"/>
    <n v="15000"/>
    <x v="0"/>
    <x v="3"/>
    <x v="0"/>
    <n v="45000"/>
    <n v="3"/>
    <s v="High"/>
  </r>
  <r>
    <x v="110"/>
    <x v="43"/>
    <s v="Luis Sánchez"/>
    <x v="3"/>
    <s v="Accesorios"/>
    <n v="1"/>
    <n v="500"/>
    <x v="0"/>
    <x v="3"/>
    <x v="2"/>
    <n v="500"/>
    <n v="3"/>
    <s v="Low"/>
  </r>
  <r>
    <x v="111"/>
    <x v="20"/>
    <s v="Diego Ramírez"/>
    <x v="2"/>
    <s v="Computación"/>
    <n v="1"/>
    <n v="5500"/>
    <x v="1"/>
    <x v="1"/>
    <x v="0"/>
    <n v="5500"/>
    <n v="2"/>
    <s v="Medium"/>
  </r>
  <r>
    <x v="112"/>
    <x v="61"/>
    <s v="Fernando Ruiz"/>
    <x v="0"/>
    <s v="Accesorios"/>
    <n v="1"/>
    <n v="1400"/>
    <x v="2"/>
    <x v="2"/>
    <x v="0"/>
    <n v="1400"/>
    <n v="3"/>
    <s v="Low"/>
  </r>
  <r>
    <x v="113"/>
    <x v="62"/>
    <s v="Miguel Flores"/>
    <x v="0"/>
    <s v="Accesorios"/>
    <n v="2"/>
    <n v="1400"/>
    <x v="2"/>
    <x v="0"/>
    <x v="0"/>
    <n v="2800"/>
    <n v="1"/>
    <s v="Medium"/>
  </r>
  <r>
    <x v="114"/>
    <x v="59"/>
    <s v="Ana López"/>
    <x v="5"/>
    <s v="Computación"/>
    <n v="2"/>
    <n v="15000"/>
    <x v="2"/>
    <x v="0"/>
    <x v="1"/>
    <n v="30000"/>
    <n v="3"/>
    <s v="High"/>
  </r>
  <r>
    <x v="115"/>
    <x v="57"/>
    <s v="Fernando Ruiz"/>
    <x v="0"/>
    <s v="Accesorios"/>
    <n v="2"/>
    <n v="1400"/>
    <x v="0"/>
    <x v="2"/>
    <x v="1"/>
    <n v="2800"/>
    <n v="1"/>
    <s v="Medium"/>
  </r>
  <r>
    <x v="116"/>
    <x v="57"/>
    <s v="Luis Sánchez"/>
    <x v="5"/>
    <s v="Computación"/>
    <n v="1"/>
    <n v="15000"/>
    <x v="1"/>
    <x v="1"/>
    <x v="1"/>
    <n v="15000"/>
    <n v="1"/>
    <s v="High"/>
  </r>
  <r>
    <x v="117"/>
    <x v="43"/>
    <s v="Juan Pérez"/>
    <x v="2"/>
    <s v="Computación"/>
    <n v="2"/>
    <n v="5500"/>
    <x v="1"/>
    <x v="2"/>
    <x v="0"/>
    <n v="11000"/>
    <n v="3"/>
    <s v="High"/>
  </r>
  <r>
    <x v="118"/>
    <x v="19"/>
    <s v="Sofía Hernández"/>
    <x v="5"/>
    <s v="Computación"/>
    <n v="1"/>
    <n v="15000"/>
    <x v="2"/>
    <x v="1"/>
    <x v="1"/>
    <n v="15000"/>
    <n v="2"/>
    <s v="High"/>
  </r>
  <r>
    <x v="119"/>
    <x v="63"/>
    <s v="Sofía Hernández"/>
    <x v="0"/>
    <s v="Accesorios"/>
    <n v="1"/>
    <n v="1400"/>
    <x v="0"/>
    <x v="0"/>
    <x v="1"/>
    <n v="1400"/>
    <n v="2"/>
    <s v="Low"/>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415DD82-15F9-430C-9D15-48D5534CD220}" name="TablaDinámica1"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H4:I9" firstHeaderRow="1" firstDataRow="1" firstDataCol="1"/>
  <pivotFields count="15">
    <pivotField showAll="0"/>
    <pivotField numFmtId="164" showAll="0">
      <items count="65">
        <item x="23"/>
        <item x="8"/>
        <item x="46"/>
        <item x="32"/>
        <item x="52"/>
        <item x="5"/>
        <item x="38"/>
        <item x="57"/>
        <item x="44"/>
        <item x="62"/>
        <item x="14"/>
        <item x="28"/>
        <item x="34"/>
        <item x="6"/>
        <item x="21"/>
        <item x="0"/>
        <item x="41"/>
        <item x="39"/>
        <item x="15"/>
        <item x="19"/>
        <item x="24"/>
        <item x="3"/>
        <item x="51"/>
        <item x="7"/>
        <item x="22"/>
        <item x="27"/>
        <item x="55"/>
        <item x="45"/>
        <item x="48"/>
        <item x="11"/>
        <item x="25"/>
        <item x="63"/>
        <item x="29"/>
        <item x="1"/>
        <item x="18"/>
        <item x="9"/>
        <item x="36"/>
        <item x="60"/>
        <item x="20"/>
        <item x="35"/>
        <item x="30"/>
        <item x="49"/>
        <item x="54"/>
        <item x="13"/>
        <item x="50"/>
        <item x="53"/>
        <item x="12"/>
        <item x="31"/>
        <item x="33"/>
        <item x="56"/>
        <item x="26"/>
        <item x="59"/>
        <item x="40"/>
        <item x="58"/>
        <item x="16"/>
        <item x="43"/>
        <item x="17"/>
        <item x="4"/>
        <item x="47"/>
        <item x="61"/>
        <item x="2"/>
        <item x="42"/>
        <item x="37"/>
        <item x="10"/>
        <item t="default"/>
      </items>
    </pivotField>
    <pivotField showAll="0"/>
    <pivotField showAll="0"/>
    <pivotField showAll="0"/>
    <pivotField showAll="0"/>
    <pivotField showAll="0"/>
    <pivotField showAll="0"/>
    <pivotField axis="axisRow" showAll="0" sortType="descending">
      <items count="5">
        <item x="3"/>
        <item x="2"/>
        <item x="0"/>
        <item x="1"/>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8"/>
  </rowFields>
  <rowItems count="5">
    <i>
      <x v="2"/>
    </i>
    <i>
      <x/>
    </i>
    <i>
      <x v="3"/>
    </i>
    <i>
      <x v="1"/>
    </i>
    <i t="grand">
      <x/>
    </i>
  </rowItems>
  <colItems count="1">
    <i/>
  </colItems>
  <dataFields count="1">
    <dataField name="Suma de Revenue" fld="10"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D9B6208-29DA-4411-9517-67B1DC84980F}" name="TablaDinámica2"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6">
  <location ref="B7:D11" firstHeaderRow="0" firstDataRow="1" firstDataCol="1" rowPageCount="2" colPageCount="1"/>
  <pivotFields count="15">
    <pivotField dataField="1" showAll="0">
      <items count="121">
        <item x="17"/>
        <item x="99"/>
        <item x="102"/>
        <item x="68"/>
        <item x="2"/>
        <item x="46"/>
        <item x="72"/>
        <item x="56"/>
        <item x="65"/>
        <item x="39"/>
        <item x="7"/>
        <item x="12"/>
        <item x="25"/>
        <item x="66"/>
        <item x="116"/>
        <item x="26"/>
        <item x="52"/>
        <item x="69"/>
        <item x="10"/>
        <item x="62"/>
        <item x="112"/>
        <item x="101"/>
        <item x="32"/>
        <item x="103"/>
        <item x="30"/>
        <item x="41"/>
        <item x="4"/>
        <item x="61"/>
        <item x="43"/>
        <item x="97"/>
        <item x="36"/>
        <item x="22"/>
        <item x="91"/>
        <item x="40"/>
        <item x="54"/>
        <item x="51"/>
        <item x="13"/>
        <item x="96"/>
        <item x="70"/>
        <item x="49"/>
        <item x="8"/>
        <item x="85"/>
        <item x="24"/>
        <item x="57"/>
        <item x="0"/>
        <item x="21"/>
        <item x="79"/>
        <item x="1"/>
        <item x="87"/>
        <item x="50"/>
        <item x="77"/>
        <item x="118"/>
        <item x="100"/>
        <item x="37"/>
        <item x="76"/>
        <item x="3"/>
        <item x="34"/>
        <item x="89"/>
        <item x="86"/>
        <item x="93"/>
        <item x="113"/>
        <item x="81"/>
        <item x="11"/>
        <item x="94"/>
        <item x="5"/>
        <item x="20"/>
        <item x="53"/>
        <item x="59"/>
        <item x="48"/>
        <item x="42"/>
        <item x="23"/>
        <item x="114"/>
        <item x="58"/>
        <item x="6"/>
        <item x="108"/>
        <item x="90"/>
        <item x="28"/>
        <item x="73"/>
        <item x="31"/>
        <item x="83"/>
        <item x="78"/>
        <item x="80"/>
        <item x="110"/>
        <item x="60"/>
        <item x="67"/>
        <item x="45"/>
        <item x="109"/>
        <item x="106"/>
        <item x="18"/>
        <item x="14"/>
        <item x="47"/>
        <item x="15"/>
        <item x="117"/>
        <item x="84"/>
        <item x="75"/>
        <item x="63"/>
        <item x="33"/>
        <item x="29"/>
        <item x="44"/>
        <item x="105"/>
        <item x="64"/>
        <item x="88"/>
        <item x="119"/>
        <item x="104"/>
        <item x="19"/>
        <item x="95"/>
        <item x="115"/>
        <item x="9"/>
        <item x="107"/>
        <item x="16"/>
        <item x="35"/>
        <item x="74"/>
        <item x="92"/>
        <item x="55"/>
        <item x="27"/>
        <item x="98"/>
        <item x="82"/>
        <item x="71"/>
        <item x="38"/>
        <item x="111"/>
        <item t="default"/>
      </items>
    </pivotField>
    <pivotField numFmtId="164" showAll="0">
      <items count="65">
        <item x="23"/>
        <item x="8"/>
        <item x="46"/>
        <item x="32"/>
        <item x="52"/>
        <item x="5"/>
        <item x="38"/>
        <item x="57"/>
        <item x="44"/>
        <item x="62"/>
        <item x="14"/>
        <item x="28"/>
        <item x="34"/>
        <item x="6"/>
        <item x="21"/>
        <item x="0"/>
        <item x="41"/>
        <item x="39"/>
        <item x="15"/>
        <item x="19"/>
        <item x="24"/>
        <item x="3"/>
        <item x="51"/>
        <item x="7"/>
        <item x="22"/>
        <item x="27"/>
        <item x="55"/>
        <item x="45"/>
        <item x="48"/>
        <item x="11"/>
        <item x="25"/>
        <item x="63"/>
        <item x="29"/>
        <item x="1"/>
        <item x="18"/>
        <item x="9"/>
        <item x="36"/>
        <item x="60"/>
        <item x="20"/>
        <item x="35"/>
        <item x="30"/>
        <item x="49"/>
        <item x="54"/>
        <item x="13"/>
        <item x="50"/>
        <item x="53"/>
        <item x="12"/>
        <item x="31"/>
        <item x="33"/>
        <item x="56"/>
        <item x="26"/>
        <item x="59"/>
        <item x="40"/>
        <item x="58"/>
        <item x="16"/>
        <item x="43"/>
        <item x="17"/>
        <item x="4"/>
        <item x="47"/>
        <item x="61"/>
        <item x="2"/>
        <item x="42"/>
        <item x="37"/>
        <item x="10"/>
        <item t="default"/>
      </items>
    </pivotField>
    <pivotField showAll="0"/>
    <pivotField axis="axisPage" showAll="0">
      <items count="7">
        <item x="4"/>
        <item x="5"/>
        <item x="2"/>
        <item x="3"/>
        <item x="1"/>
        <item x="0"/>
        <item t="default"/>
      </items>
    </pivotField>
    <pivotField showAll="0"/>
    <pivotField dataField="1" showAll="0"/>
    <pivotField showAll="0"/>
    <pivotField axis="axisPage" multipleItemSelectionAllowed="1" showAll="0">
      <items count="5">
        <item h="1" x="2"/>
        <item x="3"/>
        <item h="1" x="1"/>
        <item h="1" x="0"/>
        <item t="default"/>
      </items>
    </pivotField>
    <pivotField axis="axisRow" showAll="0" sortType="descending">
      <items count="5">
        <item x="3"/>
        <item x="2"/>
        <item x="0"/>
        <item x="1"/>
        <item t="default"/>
      </items>
      <autoSortScope>
        <pivotArea dataOnly="0" outline="0" fieldPosition="0">
          <references count="1">
            <reference field="4294967294" count="1" selected="0">
              <x v="1"/>
            </reference>
          </references>
        </pivotArea>
      </autoSortScope>
    </pivotField>
    <pivotField showAll="0">
      <items count="4">
        <item h="1" x="1"/>
        <item x="0"/>
        <item h="1" x="2"/>
        <item t="default"/>
      </items>
    </pivotField>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4">
    <i>
      <x v="3"/>
    </i>
    <i>
      <x v="1"/>
    </i>
    <i>
      <x v="2"/>
    </i>
    <i t="grand">
      <x/>
    </i>
  </rowItems>
  <colFields count="1">
    <field x="-2"/>
  </colFields>
  <colItems count="2">
    <i>
      <x/>
    </i>
    <i i="1">
      <x v="1"/>
    </i>
  </colItems>
  <pageFields count="2">
    <pageField fld="7" hier="-1"/>
    <pageField fld="3" item="5" hier="-1"/>
  </pageFields>
  <dataFields count="2">
    <dataField name="Cuenta de Sale_ID" fld="0" subtotal="count" baseField="0" baseItem="0"/>
    <dataField name="Suma de Quantity" fld="5" baseField="0" baseItem="0"/>
  </dataFields>
  <chartFormats count="2">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64D15B0-7484-456C-912D-BA7FFBC7FC60}" name="TablaDinámica3"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B17:D24" firstHeaderRow="0" firstDataRow="1" firstDataCol="1"/>
  <pivotFields count="15">
    <pivotField showAll="0"/>
    <pivotField numFmtId="164" showAll="0">
      <items count="65">
        <item x="23"/>
        <item x="8"/>
        <item x="46"/>
        <item x="32"/>
        <item x="52"/>
        <item x="5"/>
        <item x="38"/>
        <item x="57"/>
        <item x="44"/>
        <item x="62"/>
        <item x="14"/>
        <item x="28"/>
        <item x="34"/>
        <item x="6"/>
        <item x="21"/>
        <item x="0"/>
        <item x="41"/>
        <item x="39"/>
        <item x="15"/>
        <item x="19"/>
        <item x="24"/>
        <item x="3"/>
        <item x="51"/>
        <item x="7"/>
        <item x="22"/>
        <item x="27"/>
        <item x="55"/>
        <item x="45"/>
        <item x="48"/>
        <item x="11"/>
        <item x="25"/>
        <item x="63"/>
        <item x="29"/>
        <item x="1"/>
        <item x="18"/>
        <item x="9"/>
        <item x="36"/>
        <item x="60"/>
        <item x="20"/>
        <item x="35"/>
        <item x="30"/>
        <item x="49"/>
        <item x="54"/>
        <item x="13"/>
        <item x="50"/>
        <item x="53"/>
        <item x="12"/>
        <item x="31"/>
        <item x="33"/>
        <item x="56"/>
        <item x="26"/>
        <item x="59"/>
        <item x="40"/>
        <item x="58"/>
        <item x="16"/>
        <item x="43"/>
        <item x="17"/>
        <item x="4"/>
        <item x="47"/>
        <item x="61"/>
        <item x="2"/>
        <item x="42"/>
        <item x="37"/>
        <item x="10"/>
        <item t="default"/>
      </items>
    </pivotField>
    <pivotField showAll="0"/>
    <pivotField axis="axisRow" showAll="0" sortType="descending">
      <items count="7">
        <item x="4"/>
        <item x="5"/>
        <item x="2"/>
        <item x="3"/>
        <item x="1"/>
        <item x="0"/>
        <item t="default"/>
      </items>
      <autoSortScope>
        <pivotArea dataOnly="0" outline="0" fieldPosition="0">
          <references count="1">
            <reference field="4294967294" count="1" selected="0">
              <x v="1"/>
            </reference>
          </references>
        </pivotArea>
      </autoSortScope>
    </pivotField>
    <pivotField showAll="0"/>
    <pivotField dataField="1" showAll="0"/>
    <pivotField showAll="0"/>
    <pivotField showAll="0"/>
    <pivotField showAll="0"/>
    <pivotField showAll="0"/>
    <pivotField dataField="1"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7">
    <i>
      <x v="1"/>
    </i>
    <i>
      <x v="2"/>
    </i>
    <i>
      <x v="5"/>
    </i>
    <i>
      <x/>
    </i>
    <i>
      <x v="4"/>
    </i>
    <i>
      <x v="3"/>
    </i>
    <i t="grand">
      <x/>
    </i>
  </rowItems>
  <colFields count="1">
    <field x="-2"/>
  </colFields>
  <colItems count="2">
    <i>
      <x/>
    </i>
    <i i="1">
      <x v="1"/>
    </i>
  </colItems>
  <dataFields count="2">
    <dataField name="Suma de Quantity" fld="5" baseField="0" baseItem="0"/>
    <dataField name="Suma de Revenue" fld="10"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85CF803-4543-422C-B915-E3D564E623C7}" name="TablaDinámica3" cacheId="0" applyNumberFormats="0" applyBorderFormats="0" applyFontFormats="0" applyPatternFormats="0" applyAlignmentFormats="0" applyWidthHeightFormats="1" dataCaption="Valores" updatedVersion="8" minRefreshableVersion="3" itemPrintTitles="1" createdVersion="8" indent="0" outline="1" outlineData="1" multipleFieldFilters="0" chartFormat="6">
  <location ref="B33:C37" firstHeaderRow="1" firstDataRow="1" firstDataCol="1"/>
  <pivotFields count="15">
    <pivotField dataField="1" showAll="0"/>
    <pivotField numFmtId="164" showAll="0">
      <items count="65">
        <item x="23"/>
        <item x="8"/>
        <item x="46"/>
        <item x="32"/>
        <item x="52"/>
        <item x="5"/>
        <item x="38"/>
        <item x="57"/>
        <item x="44"/>
        <item x="62"/>
        <item x="14"/>
        <item x="28"/>
        <item x="34"/>
        <item x="6"/>
        <item x="21"/>
        <item x="0"/>
        <item x="41"/>
        <item x="39"/>
        <item x="15"/>
        <item x="19"/>
        <item x="24"/>
        <item x="3"/>
        <item x="51"/>
        <item x="7"/>
        <item x="22"/>
        <item x="27"/>
        <item x="55"/>
        <item x="45"/>
        <item x="48"/>
        <item x="11"/>
        <item x="25"/>
        <item x="63"/>
        <item x="29"/>
        <item x="1"/>
        <item x="18"/>
        <item x="9"/>
        <item x="36"/>
        <item x="60"/>
        <item x="20"/>
        <item x="35"/>
        <item x="30"/>
        <item x="49"/>
        <item x="54"/>
        <item x="13"/>
        <item x="50"/>
        <item x="53"/>
        <item x="12"/>
        <item x="31"/>
        <item x="33"/>
        <item x="56"/>
        <item x="26"/>
        <item x="59"/>
        <item x="40"/>
        <item x="58"/>
        <item x="16"/>
        <item x="43"/>
        <item x="17"/>
        <item x="4"/>
        <item x="47"/>
        <item x="61"/>
        <item x="2"/>
        <item x="42"/>
        <item x="37"/>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numFmtId="167" showAll="0" defaultSubtotal="0">
      <items count="14">
        <item sd="0" x="0"/>
        <item sd="0" x="1"/>
        <item sd="0" x="2"/>
        <item sd="0" x="3"/>
        <item sd="0" x="4"/>
        <item sd="0" x="5"/>
        <item sd="0" x="6"/>
        <item sd="0" x="7"/>
        <item sd="0" x="8"/>
        <item sd="0" x="9"/>
        <item sd="0" x="10"/>
        <item sd="0" x="11"/>
        <item sd="0" x="12"/>
        <item sd="0" x="13"/>
      </items>
    </pivotField>
  </pivotFields>
  <rowFields count="1">
    <field x="14"/>
  </rowFields>
  <rowItems count="4">
    <i>
      <x v="1"/>
    </i>
    <i>
      <x v="2"/>
    </i>
    <i>
      <x v="3"/>
    </i>
    <i t="grand">
      <x/>
    </i>
  </rowItems>
  <colItems count="1">
    <i/>
  </colItems>
  <dataFields count="1">
    <dataField name="Cuenta de Sale_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1198BFD-BF7E-4DFC-B51E-DFDF47BE34B3}" name="TablaDinámica2" cacheId="0" applyNumberFormats="0" applyBorderFormats="0" applyFontFormats="0" applyPatternFormats="0" applyAlignmentFormats="0" applyWidthHeightFormats="1" dataCaption="Valores" updatedVersion="8" minRefreshableVersion="3" itemPrintTitles="1" createdVersion="8" indent="0" outline="1" outlineData="1" multipleFieldFilters="0" chartFormat="9">
  <location ref="B21:C28" firstHeaderRow="1" firstDataRow="1" firstDataCol="1"/>
  <pivotFields count="15">
    <pivotField showAll="0"/>
    <pivotField numFmtId="164" showAll="0">
      <items count="65">
        <item x="23"/>
        <item x="8"/>
        <item x="46"/>
        <item x="32"/>
        <item x="52"/>
        <item x="5"/>
        <item x="38"/>
        <item x="57"/>
        <item x="44"/>
        <item x="62"/>
        <item x="14"/>
        <item x="28"/>
        <item x="34"/>
        <item x="6"/>
        <item x="21"/>
        <item x="0"/>
        <item x="41"/>
        <item x="39"/>
        <item x="15"/>
        <item x="19"/>
        <item x="24"/>
        <item x="3"/>
        <item x="51"/>
        <item x="7"/>
        <item x="22"/>
        <item x="27"/>
        <item x="55"/>
        <item x="45"/>
        <item x="48"/>
        <item x="11"/>
        <item x="25"/>
        <item x="63"/>
        <item x="29"/>
        <item x="1"/>
        <item x="18"/>
        <item x="9"/>
        <item x="36"/>
        <item x="60"/>
        <item x="20"/>
        <item x="35"/>
        <item x="30"/>
        <item x="49"/>
        <item x="54"/>
        <item x="13"/>
        <item x="50"/>
        <item x="53"/>
        <item x="12"/>
        <item x="31"/>
        <item x="33"/>
        <item x="56"/>
        <item x="26"/>
        <item x="59"/>
        <item x="40"/>
        <item x="58"/>
        <item x="16"/>
        <item x="43"/>
        <item x="17"/>
        <item x="4"/>
        <item x="47"/>
        <item x="61"/>
        <item x="2"/>
        <item x="42"/>
        <item x="37"/>
        <item x="10"/>
        <item t="default"/>
      </items>
    </pivotField>
    <pivotField showAll="0"/>
    <pivotField axis="axisRow" showAll="0" sortType="descending">
      <items count="7">
        <item x="4"/>
        <item x="5"/>
        <item x="2"/>
        <item x="3"/>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7">
    <i>
      <x v="1"/>
    </i>
    <i>
      <x v="2"/>
    </i>
    <i>
      <x v="5"/>
    </i>
    <i>
      <x/>
    </i>
    <i>
      <x v="4"/>
    </i>
    <i>
      <x v="3"/>
    </i>
    <i t="grand">
      <x/>
    </i>
  </rowItems>
  <colItems count="1">
    <i/>
  </colItems>
  <dataFields count="1">
    <dataField name="Suma de Revenue" fld="10" baseField="0" baseItem="0" numFmtId="165"/>
  </dataFields>
  <chartFormats count="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FB4A6C7-7949-4C49-9480-B510C4A2BF03}" name="TablaDinámica1"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2">
  <location ref="B10:D17" firstHeaderRow="0" firstDataRow="1" firstDataCol="1"/>
  <pivotFields count="15">
    <pivotField showAll="0"/>
    <pivotField numFmtId="164" showAll="0">
      <items count="65">
        <item x="23"/>
        <item x="8"/>
        <item x="46"/>
        <item x="32"/>
        <item x="52"/>
        <item x="5"/>
        <item x="38"/>
        <item x="57"/>
        <item x="44"/>
        <item x="62"/>
        <item x="14"/>
        <item x="28"/>
        <item x="34"/>
        <item x="6"/>
        <item x="21"/>
        <item x="0"/>
        <item x="41"/>
        <item x="39"/>
        <item x="15"/>
        <item x="19"/>
        <item x="24"/>
        <item x="3"/>
        <item x="51"/>
        <item x="7"/>
        <item x="22"/>
        <item x="27"/>
        <item x="55"/>
        <item x="45"/>
        <item x="48"/>
        <item x="11"/>
        <item x="25"/>
        <item x="63"/>
        <item x="29"/>
        <item x="1"/>
        <item x="18"/>
        <item x="9"/>
        <item x="36"/>
        <item x="60"/>
        <item x="20"/>
        <item x="35"/>
        <item x="30"/>
        <item x="49"/>
        <item x="54"/>
        <item x="13"/>
        <item x="50"/>
        <item x="53"/>
        <item x="12"/>
        <item x="31"/>
        <item x="33"/>
        <item x="56"/>
        <item x="26"/>
        <item x="59"/>
        <item x="40"/>
        <item x="58"/>
        <item x="16"/>
        <item x="43"/>
        <item x="17"/>
        <item x="4"/>
        <item x="47"/>
        <item x="61"/>
        <item x="2"/>
        <item x="42"/>
        <item x="37"/>
        <item x="10"/>
        <item t="default"/>
      </items>
    </pivotField>
    <pivotField showAll="0"/>
    <pivotField axis="axisRow" showAll="0" sortType="ascending">
      <items count="7">
        <item x="4"/>
        <item x="5"/>
        <item x="2"/>
        <item x="3"/>
        <item x="1"/>
        <item x="0"/>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dataField="1"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7">
    <i>
      <x v="3"/>
    </i>
    <i>
      <x v="4"/>
    </i>
    <i>
      <x/>
    </i>
    <i>
      <x v="5"/>
    </i>
    <i>
      <x v="2"/>
    </i>
    <i>
      <x v="1"/>
    </i>
    <i t="grand">
      <x/>
    </i>
  </rowItems>
  <colFields count="1">
    <field x="-2"/>
  </colFields>
  <colItems count="2">
    <i>
      <x/>
    </i>
    <i i="1">
      <x v="1"/>
    </i>
  </colItems>
  <dataFields count="2">
    <dataField name="Suma de Revenue" fld="10" baseField="0" baseItem="0"/>
    <dataField name="Suma de Quantity" fld="5" baseField="0" baseItem="0"/>
  </dataFields>
  <formats count="3">
    <format dxfId="2">
      <pivotArea collapsedLevelsAreSubtotals="1" fieldPosition="0">
        <references count="1">
          <reference field="3" count="0"/>
        </references>
      </pivotArea>
    </format>
    <format dxfId="1">
      <pivotArea collapsedLevelsAreSubtotals="1" fieldPosition="0">
        <references count="2">
          <reference field="4294967294" count="1" selected="0">
            <x v="1"/>
          </reference>
          <reference field="3" count="0"/>
        </references>
      </pivotArea>
    </format>
    <format dxfId="0">
      <pivotArea field="3" grandRow="1" outline="0" collapsedLevelsAreSubtotals="1" axis="axisRow"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1"/>
  <sheetViews>
    <sheetView workbookViewId="0">
      <selection activeCell="D5" sqref="D5"/>
    </sheetView>
  </sheetViews>
  <sheetFormatPr baseColWidth="10" defaultColWidth="9.140625" defaultRowHeight="15" x14ac:dyDescent="0.25"/>
  <cols>
    <col min="2" max="2" width="21.42578125" customWidth="1"/>
    <col min="3" max="3" width="17.85546875" customWidth="1"/>
    <col min="4" max="4" width="13.140625" customWidth="1"/>
    <col min="5" max="5" width="15.140625" customWidth="1"/>
    <col min="7" max="7" width="11.5703125" customWidth="1"/>
    <col min="8" max="8" width="13.28515625" customWidth="1"/>
    <col min="9" max="9" width="14.5703125" customWidth="1"/>
    <col min="10" max="10" width="14.42578125" customWidth="1"/>
    <col min="11" max="11" width="13.85546875" customWidth="1"/>
  </cols>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v>1045</v>
      </c>
      <c r="B2" s="2">
        <v>46051</v>
      </c>
      <c r="C2" t="s">
        <v>11</v>
      </c>
      <c r="D2" t="s">
        <v>26</v>
      </c>
      <c r="E2" t="s">
        <v>32</v>
      </c>
      <c r="F2">
        <v>2</v>
      </c>
      <c r="G2">
        <v>1400</v>
      </c>
      <c r="H2" t="s">
        <v>35</v>
      </c>
      <c r="I2" t="s">
        <v>41</v>
      </c>
      <c r="J2" t="s">
        <v>45</v>
      </c>
      <c r="K2">
        <v>2800</v>
      </c>
    </row>
    <row r="3" spans="1:11" x14ac:dyDescent="0.25">
      <c r="A3">
        <v>1048</v>
      </c>
      <c r="B3" s="2">
        <v>46074</v>
      </c>
      <c r="C3" t="s">
        <v>12</v>
      </c>
      <c r="D3" t="s">
        <v>27</v>
      </c>
      <c r="E3" t="s">
        <v>32</v>
      </c>
      <c r="F3">
        <v>1</v>
      </c>
      <c r="G3">
        <v>900</v>
      </c>
      <c r="H3" t="s">
        <v>36</v>
      </c>
      <c r="I3" t="s">
        <v>42</v>
      </c>
      <c r="J3" t="s">
        <v>46</v>
      </c>
      <c r="K3">
        <v>900</v>
      </c>
    </row>
    <row r="4" spans="1:11" x14ac:dyDescent="0.25">
      <c r="A4">
        <v>1005</v>
      </c>
      <c r="B4" s="2">
        <v>46106</v>
      </c>
      <c r="C4" t="s">
        <v>13</v>
      </c>
      <c r="D4" t="s">
        <v>28</v>
      </c>
      <c r="E4" t="s">
        <v>33</v>
      </c>
      <c r="F4">
        <v>2</v>
      </c>
      <c r="G4">
        <v>5500</v>
      </c>
      <c r="H4" t="s">
        <v>35</v>
      </c>
      <c r="I4" t="s">
        <v>42</v>
      </c>
      <c r="J4" t="s">
        <v>47</v>
      </c>
      <c r="K4">
        <v>11000</v>
      </c>
    </row>
    <row r="5" spans="1:11" x14ac:dyDescent="0.25">
      <c r="A5">
        <v>1056</v>
      </c>
      <c r="B5" s="2">
        <v>46058</v>
      </c>
      <c r="C5" t="s">
        <v>14</v>
      </c>
      <c r="D5" t="s">
        <v>27</v>
      </c>
      <c r="E5" t="s">
        <v>33</v>
      </c>
      <c r="F5">
        <v>1</v>
      </c>
      <c r="G5">
        <v>5500</v>
      </c>
      <c r="H5" t="s">
        <v>36</v>
      </c>
      <c r="I5" t="s">
        <v>41</v>
      </c>
      <c r="J5" t="s">
        <v>46</v>
      </c>
      <c r="K5">
        <v>5500</v>
      </c>
    </row>
    <row r="6" spans="1:11" x14ac:dyDescent="0.25">
      <c r="A6">
        <v>1027</v>
      </c>
      <c r="B6" s="2">
        <v>46103</v>
      </c>
      <c r="C6" t="s">
        <v>15</v>
      </c>
      <c r="D6" t="s">
        <v>27</v>
      </c>
      <c r="E6" t="s">
        <v>32</v>
      </c>
      <c r="F6">
        <v>3</v>
      </c>
      <c r="G6">
        <v>900</v>
      </c>
      <c r="H6" t="s">
        <v>36</v>
      </c>
      <c r="I6" t="s">
        <v>42</v>
      </c>
      <c r="J6" t="s">
        <v>46</v>
      </c>
      <c r="K6">
        <v>2700</v>
      </c>
    </row>
    <row r="7" spans="1:11" x14ac:dyDescent="0.25">
      <c r="A7">
        <v>1065</v>
      </c>
      <c r="B7" s="2">
        <v>46032</v>
      </c>
      <c r="C7" t="s">
        <v>16</v>
      </c>
      <c r="D7" t="s">
        <v>29</v>
      </c>
      <c r="E7" t="s">
        <v>32</v>
      </c>
      <c r="F7">
        <v>2</v>
      </c>
      <c r="G7">
        <v>500</v>
      </c>
      <c r="H7" t="s">
        <v>37</v>
      </c>
      <c r="I7" t="s">
        <v>42</v>
      </c>
      <c r="J7" t="s">
        <v>47</v>
      </c>
      <c r="K7">
        <v>1000</v>
      </c>
    </row>
    <row r="8" spans="1:11" x14ac:dyDescent="0.25">
      <c r="A8">
        <v>1074</v>
      </c>
      <c r="B8" s="2">
        <v>46049</v>
      </c>
      <c r="C8" t="s">
        <v>17</v>
      </c>
      <c r="D8" t="s">
        <v>30</v>
      </c>
      <c r="E8" t="s">
        <v>32</v>
      </c>
      <c r="F8">
        <v>2</v>
      </c>
      <c r="G8">
        <v>1200</v>
      </c>
      <c r="H8" t="s">
        <v>37</v>
      </c>
      <c r="I8" t="s">
        <v>41</v>
      </c>
      <c r="J8" t="s">
        <v>46</v>
      </c>
      <c r="K8">
        <v>2400</v>
      </c>
    </row>
    <row r="9" spans="1:11" x14ac:dyDescent="0.25">
      <c r="A9">
        <v>1011</v>
      </c>
      <c r="B9" s="2">
        <v>46060</v>
      </c>
      <c r="C9" t="s">
        <v>17</v>
      </c>
      <c r="D9" t="s">
        <v>28</v>
      </c>
      <c r="E9" t="s">
        <v>33</v>
      </c>
      <c r="F9">
        <v>1</v>
      </c>
      <c r="G9">
        <v>5500</v>
      </c>
      <c r="H9" t="s">
        <v>37</v>
      </c>
      <c r="I9" t="s">
        <v>43</v>
      </c>
      <c r="J9" t="s">
        <v>47</v>
      </c>
      <c r="K9">
        <v>5500</v>
      </c>
    </row>
    <row r="10" spans="1:11" x14ac:dyDescent="0.25">
      <c r="A10">
        <v>1041</v>
      </c>
      <c r="B10" s="2">
        <v>46028</v>
      </c>
      <c r="C10" t="s">
        <v>18</v>
      </c>
      <c r="D10" t="s">
        <v>31</v>
      </c>
      <c r="E10" t="s">
        <v>33</v>
      </c>
      <c r="F10">
        <v>2</v>
      </c>
      <c r="G10">
        <v>15000</v>
      </c>
      <c r="H10" t="s">
        <v>35</v>
      </c>
      <c r="I10" t="s">
        <v>41</v>
      </c>
      <c r="J10" t="s">
        <v>47</v>
      </c>
      <c r="K10">
        <v>30000</v>
      </c>
    </row>
    <row r="11" spans="1:11" x14ac:dyDescent="0.25">
      <c r="A11">
        <v>1108</v>
      </c>
      <c r="B11" s="2">
        <v>46076</v>
      </c>
      <c r="C11" t="s">
        <v>12</v>
      </c>
      <c r="D11" t="s">
        <v>28</v>
      </c>
      <c r="E11" t="s">
        <v>33</v>
      </c>
      <c r="F11">
        <v>1</v>
      </c>
      <c r="G11">
        <v>5500</v>
      </c>
      <c r="H11" t="s">
        <v>35</v>
      </c>
      <c r="I11" t="s">
        <v>44</v>
      </c>
      <c r="J11" t="s">
        <v>47</v>
      </c>
      <c r="K11">
        <v>5500</v>
      </c>
    </row>
    <row r="12" spans="1:11" x14ac:dyDescent="0.25">
      <c r="A12">
        <v>1019</v>
      </c>
      <c r="B12" s="2">
        <v>46112</v>
      </c>
      <c r="C12" t="s">
        <v>19</v>
      </c>
      <c r="D12" t="s">
        <v>30</v>
      </c>
      <c r="E12" t="s">
        <v>32</v>
      </c>
      <c r="F12">
        <v>1</v>
      </c>
      <c r="G12">
        <v>1200</v>
      </c>
      <c r="H12" t="s">
        <v>36</v>
      </c>
      <c r="I12" t="s">
        <v>44</v>
      </c>
      <c r="J12" t="s">
        <v>47</v>
      </c>
      <c r="K12">
        <v>1200</v>
      </c>
    </row>
    <row r="13" spans="1:11" x14ac:dyDescent="0.25">
      <c r="A13">
        <v>1063</v>
      </c>
      <c r="B13" s="2">
        <v>46068</v>
      </c>
      <c r="C13" t="s">
        <v>14</v>
      </c>
      <c r="D13" t="s">
        <v>26</v>
      </c>
      <c r="E13" t="s">
        <v>32</v>
      </c>
      <c r="F13">
        <v>1</v>
      </c>
      <c r="G13">
        <v>1400</v>
      </c>
      <c r="H13" t="s">
        <v>36</v>
      </c>
      <c r="I13" t="s">
        <v>41</v>
      </c>
      <c r="J13" t="s">
        <v>47</v>
      </c>
      <c r="K13">
        <v>1400</v>
      </c>
    </row>
    <row r="14" spans="1:11" x14ac:dyDescent="0.25">
      <c r="A14">
        <v>1012</v>
      </c>
      <c r="B14" s="2">
        <v>46088</v>
      </c>
      <c r="C14" t="s">
        <v>20</v>
      </c>
      <c r="D14" t="s">
        <v>26</v>
      </c>
      <c r="E14" t="s">
        <v>32</v>
      </c>
      <c r="F14">
        <v>3</v>
      </c>
      <c r="G14">
        <v>1400</v>
      </c>
      <c r="H14" t="s">
        <v>38</v>
      </c>
      <c r="I14" t="s">
        <v>43</v>
      </c>
      <c r="J14" t="s">
        <v>47</v>
      </c>
      <c r="K14">
        <v>4200</v>
      </c>
    </row>
    <row r="15" spans="1:11" x14ac:dyDescent="0.25">
      <c r="A15">
        <v>1037</v>
      </c>
      <c r="B15" s="2">
        <v>46085</v>
      </c>
      <c r="C15" t="s">
        <v>16</v>
      </c>
      <c r="D15" t="s">
        <v>27</v>
      </c>
      <c r="E15" t="s">
        <v>32</v>
      </c>
      <c r="F15">
        <v>2</v>
      </c>
      <c r="G15">
        <v>900</v>
      </c>
      <c r="H15" t="s">
        <v>36</v>
      </c>
      <c r="I15" t="s">
        <v>41</v>
      </c>
      <c r="J15" t="s">
        <v>47</v>
      </c>
      <c r="K15">
        <v>1800</v>
      </c>
    </row>
    <row r="16" spans="1:11" x14ac:dyDescent="0.25">
      <c r="A16">
        <v>1090</v>
      </c>
      <c r="B16" s="2">
        <v>46042</v>
      </c>
      <c r="C16" t="s">
        <v>21</v>
      </c>
      <c r="D16" t="s">
        <v>26</v>
      </c>
      <c r="E16" t="s">
        <v>32</v>
      </c>
      <c r="F16">
        <v>2</v>
      </c>
      <c r="G16">
        <v>1400</v>
      </c>
      <c r="H16" t="s">
        <v>38</v>
      </c>
      <c r="I16" t="s">
        <v>42</v>
      </c>
      <c r="J16" t="s">
        <v>46</v>
      </c>
      <c r="K16">
        <v>2800</v>
      </c>
    </row>
    <row r="17" spans="1:11" x14ac:dyDescent="0.25">
      <c r="A17">
        <v>1092</v>
      </c>
      <c r="B17" s="2">
        <v>46068</v>
      </c>
      <c r="C17" t="s">
        <v>17</v>
      </c>
      <c r="D17" t="s">
        <v>31</v>
      </c>
      <c r="E17" t="s">
        <v>33</v>
      </c>
      <c r="F17">
        <v>2</v>
      </c>
      <c r="G17">
        <v>15000</v>
      </c>
      <c r="H17" t="s">
        <v>36</v>
      </c>
      <c r="I17" t="s">
        <v>41</v>
      </c>
      <c r="J17" t="s">
        <v>48</v>
      </c>
      <c r="K17">
        <v>30000</v>
      </c>
    </row>
    <row r="18" spans="1:11" x14ac:dyDescent="0.25">
      <c r="A18">
        <v>1110</v>
      </c>
      <c r="B18" s="2">
        <v>46055</v>
      </c>
      <c r="C18" t="s">
        <v>13</v>
      </c>
      <c r="D18" t="s">
        <v>30</v>
      </c>
      <c r="E18" t="s">
        <v>32</v>
      </c>
      <c r="F18">
        <v>2</v>
      </c>
      <c r="G18">
        <v>1200</v>
      </c>
      <c r="H18" t="s">
        <v>39</v>
      </c>
      <c r="I18" t="s">
        <v>41</v>
      </c>
      <c r="J18" t="s">
        <v>48</v>
      </c>
      <c r="K18">
        <v>2400</v>
      </c>
    </row>
    <row r="19" spans="1:11" x14ac:dyDescent="0.25">
      <c r="A19">
        <v>1001</v>
      </c>
      <c r="B19" s="2">
        <v>46098</v>
      </c>
      <c r="C19" t="s">
        <v>21</v>
      </c>
      <c r="D19" t="s">
        <v>29</v>
      </c>
      <c r="E19" t="s">
        <v>32</v>
      </c>
      <c r="F19">
        <v>2</v>
      </c>
      <c r="G19">
        <v>500</v>
      </c>
      <c r="H19" t="s">
        <v>36</v>
      </c>
      <c r="I19" t="s">
        <v>41</v>
      </c>
      <c r="J19" t="s">
        <v>46</v>
      </c>
      <c r="K19">
        <v>1000</v>
      </c>
    </row>
    <row r="20" spans="1:11" x14ac:dyDescent="0.25">
      <c r="A20">
        <v>1089</v>
      </c>
      <c r="B20" s="2">
        <v>46102</v>
      </c>
      <c r="C20" t="s">
        <v>22</v>
      </c>
      <c r="D20" t="s">
        <v>30</v>
      </c>
      <c r="E20" t="s">
        <v>32</v>
      </c>
      <c r="F20">
        <v>1</v>
      </c>
      <c r="G20">
        <v>1200</v>
      </c>
      <c r="H20" t="s">
        <v>36</v>
      </c>
      <c r="I20" t="s">
        <v>43</v>
      </c>
      <c r="J20" t="s">
        <v>46</v>
      </c>
      <c r="K20">
        <v>1200</v>
      </c>
    </row>
    <row r="21" spans="1:11" x14ac:dyDescent="0.25">
      <c r="A21">
        <v>1105</v>
      </c>
      <c r="B21" s="2">
        <v>46075</v>
      </c>
      <c r="C21" t="s">
        <v>18</v>
      </c>
      <c r="D21" t="s">
        <v>31</v>
      </c>
      <c r="E21" t="s">
        <v>33</v>
      </c>
      <c r="F21">
        <v>1</v>
      </c>
      <c r="G21">
        <v>15000</v>
      </c>
      <c r="H21" t="s">
        <v>38</v>
      </c>
      <c r="I21" t="s">
        <v>41</v>
      </c>
      <c r="J21" t="s">
        <v>46</v>
      </c>
      <c r="K21">
        <v>15000</v>
      </c>
    </row>
    <row r="22" spans="1:11" x14ac:dyDescent="0.25">
      <c r="A22">
        <v>1066</v>
      </c>
      <c r="B22" s="2">
        <v>46056</v>
      </c>
      <c r="C22" t="s">
        <v>13</v>
      </c>
      <c r="D22" t="s">
        <v>27</v>
      </c>
      <c r="E22" t="s">
        <v>32</v>
      </c>
      <c r="F22">
        <v>2</v>
      </c>
      <c r="G22">
        <v>900</v>
      </c>
      <c r="H22" t="s">
        <v>38</v>
      </c>
      <c r="I22" t="s">
        <v>43</v>
      </c>
      <c r="J22" t="s">
        <v>48</v>
      </c>
      <c r="K22">
        <v>1800</v>
      </c>
    </row>
    <row r="23" spans="1:11" x14ac:dyDescent="0.25">
      <c r="A23">
        <v>1046</v>
      </c>
      <c r="B23" s="2">
        <v>46106</v>
      </c>
      <c r="C23" t="s">
        <v>15</v>
      </c>
      <c r="D23" t="s">
        <v>28</v>
      </c>
      <c r="E23" t="s">
        <v>33</v>
      </c>
      <c r="F23">
        <v>1</v>
      </c>
      <c r="G23">
        <v>5500</v>
      </c>
      <c r="H23" t="s">
        <v>35</v>
      </c>
      <c r="I23" t="s">
        <v>44</v>
      </c>
      <c r="J23" t="s">
        <v>46</v>
      </c>
      <c r="K23">
        <v>5500</v>
      </c>
    </row>
    <row r="24" spans="1:11" x14ac:dyDescent="0.25">
      <c r="A24">
        <v>1032</v>
      </c>
      <c r="B24" s="2">
        <v>46080</v>
      </c>
      <c r="C24" t="s">
        <v>23</v>
      </c>
      <c r="D24" t="s">
        <v>28</v>
      </c>
      <c r="E24" t="s">
        <v>33</v>
      </c>
      <c r="F24">
        <v>1</v>
      </c>
      <c r="G24">
        <v>5500</v>
      </c>
      <c r="H24" t="s">
        <v>40</v>
      </c>
      <c r="I24" t="s">
        <v>43</v>
      </c>
      <c r="J24" t="s">
        <v>47</v>
      </c>
      <c r="K24">
        <v>5500</v>
      </c>
    </row>
    <row r="25" spans="1:11" x14ac:dyDescent="0.25">
      <c r="A25">
        <v>1071</v>
      </c>
      <c r="B25" s="2">
        <v>46042</v>
      </c>
      <c r="C25" t="s">
        <v>13</v>
      </c>
      <c r="D25" t="s">
        <v>27</v>
      </c>
      <c r="E25" t="s">
        <v>32</v>
      </c>
      <c r="F25">
        <v>2</v>
      </c>
      <c r="G25">
        <v>900</v>
      </c>
      <c r="H25" t="s">
        <v>38</v>
      </c>
      <c r="I25" t="s">
        <v>41</v>
      </c>
      <c r="J25" t="s">
        <v>46</v>
      </c>
      <c r="K25">
        <v>1800</v>
      </c>
    </row>
    <row r="26" spans="1:11" x14ac:dyDescent="0.25">
      <c r="A26">
        <v>1043</v>
      </c>
      <c r="B26" s="2">
        <v>46074</v>
      </c>
      <c r="C26" t="s">
        <v>13</v>
      </c>
      <c r="D26" t="s">
        <v>31</v>
      </c>
      <c r="E26" t="s">
        <v>33</v>
      </c>
      <c r="F26">
        <v>1</v>
      </c>
      <c r="G26">
        <v>15000</v>
      </c>
      <c r="H26" t="s">
        <v>35</v>
      </c>
      <c r="I26" t="s">
        <v>43</v>
      </c>
      <c r="J26" t="s">
        <v>46</v>
      </c>
      <c r="K26">
        <v>15000</v>
      </c>
    </row>
    <row r="27" spans="1:11" x14ac:dyDescent="0.25">
      <c r="A27">
        <v>1013</v>
      </c>
      <c r="B27" s="2">
        <v>46050</v>
      </c>
      <c r="C27" t="s">
        <v>17</v>
      </c>
      <c r="D27" t="s">
        <v>30</v>
      </c>
      <c r="E27" t="s">
        <v>32</v>
      </c>
      <c r="F27">
        <v>1</v>
      </c>
      <c r="G27">
        <v>1200</v>
      </c>
      <c r="H27" t="s">
        <v>38</v>
      </c>
      <c r="I27" t="s">
        <v>43</v>
      </c>
      <c r="J27" t="s">
        <v>48</v>
      </c>
      <c r="K27">
        <v>1200</v>
      </c>
    </row>
    <row r="28" spans="1:11" x14ac:dyDescent="0.25">
      <c r="A28">
        <v>1016</v>
      </c>
      <c r="B28" s="2">
        <v>46061</v>
      </c>
      <c r="C28" t="s">
        <v>18</v>
      </c>
      <c r="D28" t="s">
        <v>27</v>
      </c>
      <c r="E28" t="s">
        <v>32</v>
      </c>
      <c r="F28">
        <v>1</v>
      </c>
      <c r="G28">
        <v>900</v>
      </c>
      <c r="H28" t="s">
        <v>36</v>
      </c>
      <c r="I28" t="s">
        <v>44</v>
      </c>
      <c r="J28" t="s">
        <v>46</v>
      </c>
      <c r="K28">
        <v>900</v>
      </c>
    </row>
    <row r="29" spans="1:11" x14ac:dyDescent="0.25">
      <c r="A29">
        <v>1115</v>
      </c>
      <c r="B29" s="2">
        <v>46027</v>
      </c>
      <c r="C29" t="s">
        <v>21</v>
      </c>
      <c r="D29" t="s">
        <v>28</v>
      </c>
      <c r="E29" t="s">
        <v>33</v>
      </c>
      <c r="F29">
        <v>1</v>
      </c>
      <c r="G29">
        <v>5500</v>
      </c>
      <c r="H29" t="s">
        <v>35</v>
      </c>
      <c r="I29" t="s">
        <v>42</v>
      </c>
      <c r="J29" t="s">
        <v>46</v>
      </c>
      <c r="K29">
        <v>5500</v>
      </c>
    </row>
    <row r="30" spans="1:11" x14ac:dyDescent="0.25">
      <c r="A30">
        <v>1077</v>
      </c>
      <c r="B30" s="2">
        <v>46058</v>
      </c>
      <c r="C30" t="s">
        <v>24</v>
      </c>
      <c r="D30" t="s">
        <v>28</v>
      </c>
      <c r="E30" t="s">
        <v>33</v>
      </c>
      <c r="F30">
        <v>1</v>
      </c>
      <c r="G30">
        <v>5500</v>
      </c>
      <c r="H30" t="s">
        <v>35</v>
      </c>
      <c r="I30" t="s">
        <v>43</v>
      </c>
      <c r="J30" t="s">
        <v>47</v>
      </c>
      <c r="K30">
        <v>5500</v>
      </c>
    </row>
    <row r="31" spans="1:11" x14ac:dyDescent="0.25">
      <c r="A31">
        <v>1098</v>
      </c>
      <c r="B31" s="2">
        <v>46057</v>
      </c>
      <c r="C31" t="s">
        <v>13</v>
      </c>
      <c r="D31" t="s">
        <v>29</v>
      </c>
      <c r="E31" t="s">
        <v>32</v>
      </c>
      <c r="F31">
        <v>2</v>
      </c>
      <c r="G31">
        <v>500</v>
      </c>
      <c r="H31" t="s">
        <v>38</v>
      </c>
      <c r="I31" t="s">
        <v>43</v>
      </c>
      <c r="J31" t="s">
        <v>47</v>
      </c>
      <c r="K31">
        <v>1000</v>
      </c>
    </row>
    <row r="32" spans="1:11" x14ac:dyDescent="0.25">
      <c r="A32">
        <v>1025</v>
      </c>
      <c r="B32" s="2">
        <v>46070</v>
      </c>
      <c r="C32" t="s">
        <v>16</v>
      </c>
      <c r="D32" t="s">
        <v>29</v>
      </c>
      <c r="E32" t="s">
        <v>32</v>
      </c>
      <c r="F32">
        <v>2</v>
      </c>
      <c r="G32">
        <v>500</v>
      </c>
      <c r="H32" t="s">
        <v>37</v>
      </c>
      <c r="I32" t="s">
        <v>41</v>
      </c>
      <c r="J32" t="s">
        <v>47</v>
      </c>
      <c r="K32">
        <v>1000</v>
      </c>
    </row>
    <row r="33" spans="1:11" x14ac:dyDescent="0.25">
      <c r="A33">
        <v>1079</v>
      </c>
      <c r="B33" s="2">
        <v>46093</v>
      </c>
      <c r="C33" t="s">
        <v>18</v>
      </c>
      <c r="D33" t="s">
        <v>27</v>
      </c>
      <c r="E33" t="s">
        <v>32</v>
      </c>
      <c r="F33">
        <v>2</v>
      </c>
      <c r="G33">
        <v>900</v>
      </c>
      <c r="H33" t="s">
        <v>38</v>
      </c>
      <c r="I33" t="s">
        <v>43</v>
      </c>
      <c r="J33" t="s">
        <v>47</v>
      </c>
      <c r="K33">
        <v>1800</v>
      </c>
    </row>
    <row r="34" spans="1:11" x14ac:dyDescent="0.25">
      <c r="A34">
        <v>1023</v>
      </c>
      <c r="B34" s="2">
        <v>46062</v>
      </c>
      <c r="C34" t="s">
        <v>23</v>
      </c>
      <c r="D34" t="s">
        <v>30</v>
      </c>
      <c r="E34" t="s">
        <v>32</v>
      </c>
      <c r="F34">
        <v>1</v>
      </c>
      <c r="G34">
        <v>1200</v>
      </c>
      <c r="H34" t="s">
        <v>36</v>
      </c>
      <c r="I34" t="s">
        <v>42</v>
      </c>
      <c r="J34" t="s">
        <v>48</v>
      </c>
      <c r="K34">
        <v>1200</v>
      </c>
    </row>
    <row r="35" spans="1:11" x14ac:dyDescent="0.25">
      <c r="A35">
        <v>1097</v>
      </c>
      <c r="B35" s="2">
        <v>46043</v>
      </c>
      <c r="C35" t="s">
        <v>23</v>
      </c>
      <c r="D35" t="s">
        <v>30</v>
      </c>
      <c r="E35" t="s">
        <v>32</v>
      </c>
      <c r="F35">
        <v>1</v>
      </c>
      <c r="G35">
        <v>1200</v>
      </c>
      <c r="H35" t="s">
        <v>38</v>
      </c>
      <c r="I35" t="s">
        <v>44</v>
      </c>
      <c r="J35" t="s">
        <v>47</v>
      </c>
      <c r="K35">
        <v>1200</v>
      </c>
    </row>
    <row r="36" spans="1:11" x14ac:dyDescent="0.25">
      <c r="A36">
        <v>1057</v>
      </c>
      <c r="B36" s="2">
        <v>46043</v>
      </c>
      <c r="C36" t="s">
        <v>20</v>
      </c>
      <c r="D36" t="s">
        <v>27</v>
      </c>
      <c r="E36" t="s">
        <v>32</v>
      </c>
      <c r="F36">
        <v>1</v>
      </c>
      <c r="G36">
        <v>900</v>
      </c>
      <c r="H36" t="s">
        <v>38</v>
      </c>
      <c r="I36" t="s">
        <v>44</v>
      </c>
      <c r="J36" t="s">
        <v>46</v>
      </c>
      <c r="K36">
        <v>900</v>
      </c>
    </row>
    <row r="37" spans="1:11" x14ac:dyDescent="0.25">
      <c r="A37">
        <v>1111</v>
      </c>
      <c r="B37" s="2">
        <v>46073</v>
      </c>
      <c r="C37" t="s">
        <v>15</v>
      </c>
      <c r="D37" t="s">
        <v>28</v>
      </c>
      <c r="E37" t="s">
        <v>33</v>
      </c>
      <c r="F37">
        <v>1</v>
      </c>
      <c r="G37">
        <v>5500</v>
      </c>
      <c r="H37" t="s">
        <v>37</v>
      </c>
      <c r="I37" t="s">
        <v>41</v>
      </c>
      <c r="J37" t="s">
        <v>48</v>
      </c>
      <c r="K37">
        <v>5500</v>
      </c>
    </row>
    <row r="38" spans="1:11" x14ac:dyDescent="0.25">
      <c r="A38">
        <v>1031</v>
      </c>
      <c r="B38" s="2">
        <v>46082</v>
      </c>
      <c r="C38" t="s">
        <v>18</v>
      </c>
      <c r="D38" t="s">
        <v>28</v>
      </c>
      <c r="E38" t="s">
        <v>33</v>
      </c>
      <c r="F38">
        <v>1</v>
      </c>
      <c r="G38">
        <v>5500</v>
      </c>
      <c r="H38" t="s">
        <v>36</v>
      </c>
      <c r="I38" t="s">
        <v>44</v>
      </c>
      <c r="J38" t="s">
        <v>46</v>
      </c>
      <c r="K38">
        <v>5500</v>
      </c>
    </row>
    <row r="39" spans="1:11" x14ac:dyDescent="0.25">
      <c r="A39">
        <v>1054</v>
      </c>
      <c r="B39" s="2">
        <v>46089</v>
      </c>
      <c r="C39" t="s">
        <v>21</v>
      </c>
      <c r="D39" t="s">
        <v>27</v>
      </c>
      <c r="E39" t="s">
        <v>32</v>
      </c>
      <c r="F39">
        <v>2</v>
      </c>
      <c r="G39">
        <v>900</v>
      </c>
      <c r="H39" t="s">
        <v>35</v>
      </c>
      <c r="I39" t="s">
        <v>42</v>
      </c>
      <c r="J39" t="s">
        <v>46</v>
      </c>
      <c r="K39">
        <v>1800</v>
      </c>
    </row>
    <row r="40" spans="1:11" x14ac:dyDescent="0.25">
      <c r="A40">
        <v>1119</v>
      </c>
      <c r="B40" s="2">
        <v>46058</v>
      </c>
      <c r="C40" t="s">
        <v>11</v>
      </c>
      <c r="D40" t="s">
        <v>29</v>
      </c>
      <c r="E40" t="s">
        <v>32</v>
      </c>
      <c r="F40">
        <v>3</v>
      </c>
      <c r="G40">
        <v>500</v>
      </c>
      <c r="H40" t="s">
        <v>35</v>
      </c>
      <c r="I40" t="s">
        <v>42</v>
      </c>
      <c r="J40" t="s">
        <v>46</v>
      </c>
      <c r="K40">
        <v>1500</v>
      </c>
    </row>
    <row r="41" spans="1:11" x14ac:dyDescent="0.25">
      <c r="A41">
        <v>1010</v>
      </c>
      <c r="B41" s="2">
        <v>46030</v>
      </c>
      <c r="C41" t="s">
        <v>14</v>
      </c>
      <c r="D41" t="s">
        <v>29</v>
      </c>
      <c r="E41" t="s">
        <v>32</v>
      </c>
      <c r="F41">
        <v>1</v>
      </c>
      <c r="G41">
        <v>500</v>
      </c>
      <c r="H41" t="s">
        <v>38</v>
      </c>
      <c r="I41" t="s">
        <v>42</v>
      </c>
      <c r="J41" t="s">
        <v>46</v>
      </c>
      <c r="K41">
        <v>500</v>
      </c>
    </row>
    <row r="42" spans="1:11" x14ac:dyDescent="0.25">
      <c r="A42">
        <v>1034</v>
      </c>
      <c r="B42" s="2">
        <v>46082</v>
      </c>
      <c r="C42" t="s">
        <v>24</v>
      </c>
      <c r="D42" t="s">
        <v>26</v>
      </c>
      <c r="E42" t="s">
        <v>32</v>
      </c>
      <c r="F42">
        <v>2</v>
      </c>
      <c r="G42">
        <v>1400</v>
      </c>
      <c r="H42" t="s">
        <v>38</v>
      </c>
      <c r="I42" t="s">
        <v>42</v>
      </c>
      <c r="J42" t="s">
        <v>46</v>
      </c>
      <c r="K42">
        <v>2800</v>
      </c>
    </row>
    <row r="43" spans="1:11" x14ac:dyDescent="0.25">
      <c r="A43">
        <v>1026</v>
      </c>
      <c r="B43" s="2">
        <v>46088</v>
      </c>
      <c r="C43" t="s">
        <v>18</v>
      </c>
      <c r="D43" t="s">
        <v>27</v>
      </c>
      <c r="E43" t="s">
        <v>32</v>
      </c>
      <c r="F43">
        <v>1</v>
      </c>
      <c r="G43">
        <v>900</v>
      </c>
      <c r="H43" t="s">
        <v>38</v>
      </c>
      <c r="I43" t="s">
        <v>44</v>
      </c>
      <c r="J43" t="s">
        <v>47</v>
      </c>
      <c r="K43">
        <v>900</v>
      </c>
    </row>
    <row r="44" spans="1:11" x14ac:dyDescent="0.25">
      <c r="A44">
        <v>1070</v>
      </c>
      <c r="B44" s="2">
        <v>46090</v>
      </c>
      <c r="C44" t="s">
        <v>21</v>
      </c>
      <c r="D44" t="s">
        <v>30</v>
      </c>
      <c r="E44" t="s">
        <v>32</v>
      </c>
      <c r="F44">
        <v>1</v>
      </c>
      <c r="G44">
        <v>1200</v>
      </c>
      <c r="H44" t="s">
        <v>37</v>
      </c>
      <c r="I44" t="s">
        <v>44</v>
      </c>
      <c r="J44" t="s">
        <v>48</v>
      </c>
      <c r="K44">
        <v>1200</v>
      </c>
    </row>
    <row r="45" spans="1:11" x14ac:dyDescent="0.25">
      <c r="A45">
        <v>1029</v>
      </c>
      <c r="B45" s="2">
        <v>46058</v>
      </c>
      <c r="C45" t="s">
        <v>20</v>
      </c>
      <c r="D45" t="s">
        <v>28</v>
      </c>
      <c r="E45" t="s">
        <v>33</v>
      </c>
      <c r="F45">
        <v>2</v>
      </c>
      <c r="G45">
        <v>5500</v>
      </c>
      <c r="H45" t="s">
        <v>38</v>
      </c>
      <c r="I45" t="s">
        <v>43</v>
      </c>
      <c r="J45" t="s">
        <v>46</v>
      </c>
      <c r="K45">
        <v>11000</v>
      </c>
    </row>
    <row r="46" spans="1:11" x14ac:dyDescent="0.25">
      <c r="A46">
        <v>1099</v>
      </c>
      <c r="B46" s="2">
        <v>46045</v>
      </c>
      <c r="C46" t="s">
        <v>23</v>
      </c>
      <c r="D46" t="s">
        <v>26</v>
      </c>
      <c r="E46" t="s">
        <v>32</v>
      </c>
      <c r="F46">
        <v>1</v>
      </c>
      <c r="G46">
        <v>1400</v>
      </c>
      <c r="H46" t="s">
        <v>37</v>
      </c>
      <c r="I46" t="s">
        <v>42</v>
      </c>
      <c r="J46" t="s">
        <v>46</v>
      </c>
      <c r="K46">
        <v>1400</v>
      </c>
    </row>
    <row r="47" spans="1:11" x14ac:dyDescent="0.25">
      <c r="A47">
        <v>1086</v>
      </c>
      <c r="B47" s="2">
        <v>46081</v>
      </c>
      <c r="C47" t="s">
        <v>23</v>
      </c>
      <c r="D47" t="s">
        <v>26</v>
      </c>
      <c r="E47" t="s">
        <v>32</v>
      </c>
      <c r="F47">
        <v>2</v>
      </c>
      <c r="G47">
        <v>1400</v>
      </c>
      <c r="H47" t="s">
        <v>38</v>
      </c>
      <c r="I47" t="s">
        <v>42</v>
      </c>
      <c r="J47" t="s">
        <v>47</v>
      </c>
      <c r="K47">
        <v>2800</v>
      </c>
    </row>
    <row r="48" spans="1:11" x14ac:dyDescent="0.25">
      <c r="A48">
        <v>1006</v>
      </c>
      <c r="B48" s="2">
        <v>46077</v>
      </c>
      <c r="C48" t="s">
        <v>23</v>
      </c>
      <c r="D48" t="s">
        <v>29</v>
      </c>
      <c r="E48" t="s">
        <v>32</v>
      </c>
      <c r="F48">
        <v>1</v>
      </c>
      <c r="G48">
        <v>500</v>
      </c>
      <c r="H48" t="s">
        <v>38</v>
      </c>
      <c r="I48" t="s">
        <v>44</v>
      </c>
      <c r="J48" t="s">
        <v>46</v>
      </c>
      <c r="K48">
        <v>500</v>
      </c>
    </row>
    <row r="49" spans="1:11" x14ac:dyDescent="0.25">
      <c r="A49">
        <v>1091</v>
      </c>
      <c r="B49" s="2">
        <v>46111</v>
      </c>
      <c r="C49" t="s">
        <v>16</v>
      </c>
      <c r="D49" t="s">
        <v>29</v>
      </c>
      <c r="E49" t="s">
        <v>32</v>
      </c>
      <c r="F49">
        <v>1</v>
      </c>
      <c r="G49">
        <v>500</v>
      </c>
      <c r="H49" t="s">
        <v>38</v>
      </c>
      <c r="I49" t="s">
        <v>42</v>
      </c>
      <c r="J49" t="s">
        <v>47</v>
      </c>
      <c r="K49">
        <v>500</v>
      </c>
    </row>
    <row r="50" spans="1:11" x14ac:dyDescent="0.25">
      <c r="A50">
        <v>1069</v>
      </c>
      <c r="B50" s="2">
        <v>46074</v>
      </c>
      <c r="C50" t="s">
        <v>15</v>
      </c>
      <c r="D50" t="s">
        <v>28</v>
      </c>
      <c r="E50" t="s">
        <v>33</v>
      </c>
      <c r="F50">
        <v>1</v>
      </c>
      <c r="G50">
        <v>5500</v>
      </c>
      <c r="H50" t="s">
        <v>35</v>
      </c>
      <c r="I50" t="s">
        <v>44</v>
      </c>
      <c r="J50" t="s">
        <v>46</v>
      </c>
      <c r="K50">
        <v>5500</v>
      </c>
    </row>
    <row r="51" spans="1:11" x14ac:dyDescent="0.25">
      <c r="A51">
        <v>1040</v>
      </c>
      <c r="B51" s="2">
        <v>46033</v>
      </c>
      <c r="C51" t="s">
        <v>12</v>
      </c>
      <c r="D51" t="s">
        <v>26</v>
      </c>
      <c r="E51" t="s">
        <v>32</v>
      </c>
      <c r="F51">
        <v>1</v>
      </c>
      <c r="G51">
        <v>1400</v>
      </c>
      <c r="H51" t="s">
        <v>35</v>
      </c>
      <c r="I51" t="s">
        <v>41</v>
      </c>
      <c r="J51" t="s">
        <v>46</v>
      </c>
      <c r="K51">
        <v>1400</v>
      </c>
    </row>
    <row r="52" spans="1:11" x14ac:dyDescent="0.25">
      <c r="A52">
        <v>1050</v>
      </c>
      <c r="B52" s="2">
        <v>46056</v>
      </c>
      <c r="C52" t="s">
        <v>18</v>
      </c>
      <c r="D52" t="s">
        <v>27</v>
      </c>
      <c r="E52" t="s">
        <v>32</v>
      </c>
      <c r="F52">
        <v>1</v>
      </c>
      <c r="G52">
        <v>900</v>
      </c>
      <c r="H52" t="s">
        <v>35</v>
      </c>
      <c r="I52" t="s">
        <v>42</v>
      </c>
      <c r="J52" t="s">
        <v>48</v>
      </c>
      <c r="K52">
        <v>900</v>
      </c>
    </row>
    <row r="53" spans="1:11" x14ac:dyDescent="0.25">
      <c r="A53">
        <v>1036</v>
      </c>
      <c r="B53" s="2">
        <v>46085</v>
      </c>
      <c r="C53" t="s">
        <v>14</v>
      </c>
      <c r="D53" t="s">
        <v>31</v>
      </c>
      <c r="E53" t="s">
        <v>33</v>
      </c>
      <c r="F53">
        <v>1</v>
      </c>
      <c r="G53">
        <v>15000</v>
      </c>
      <c r="H53" t="s">
        <v>35</v>
      </c>
      <c r="I53" t="s">
        <v>44</v>
      </c>
      <c r="J53" t="s">
        <v>47</v>
      </c>
      <c r="K53">
        <v>15000</v>
      </c>
    </row>
    <row r="54" spans="1:11" x14ac:dyDescent="0.25">
      <c r="A54">
        <v>1017</v>
      </c>
      <c r="B54" s="2">
        <v>46054</v>
      </c>
      <c r="C54" t="s">
        <v>23</v>
      </c>
      <c r="D54" t="s">
        <v>28</v>
      </c>
      <c r="E54" t="s">
        <v>33</v>
      </c>
      <c r="F54">
        <v>1</v>
      </c>
      <c r="G54">
        <v>5500</v>
      </c>
      <c r="H54" t="s">
        <v>38</v>
      </c>
      <c r="I54" t="s">
        <v>43</v>
      </c>
      <c r="J54" t="s">
        <v>46</v>
      </c>
      <c r="K54">
        <v>5500</v>
      </c>
    </row>
    <row r="55" spans="1:11" x14ac:dyDescent="0.25">
      <c r="A55">
        <v>1067</v>
      </c>
      <c r="B55" s="2">
        <v>46081</v>
      </c>
      <c r="C55" t="s">
        <v>17</v>
      </c>
      <c r="D55" t="s">
        <v>27</v>
      </c>
      <c r="E55" t="s">
        <v>32</v>
      </c>
      <c r="F55">
        <v>2</v>
      </c>
      <c r="G55">
        <v>900</v>
      </c>
      <c r="H55" t="s">
        <v>38</v>
      </c>
      <c r="I55" t="s">
        <v>41</v>
      </c>
      <c r="J55" t="s">
        <v>46</v>
      </c>
      <c r="K55">
        <v>1800</v>
      </c>
    </row>
    <row r="56" spans="1:11" x14ac:dyDescent="0.25">
      <c r="A56">
        <v>1035</v>
      </c>
      <c r="B56" s="2">
        <v>46096</v>
      </c>
      <c r="C56" t="s">
        <v>14</v>
      </c>
      <c r="D56" t="s">
        <v>26</v>
      </c>
      <c r="E56" t="s">
        <v>32</v>
      </c>
      <c r="F56">
        <v>2</v>
      </c>
      <c r="G56">
        <v>1400</v>
      </c>
      <c r="H56" t="s">
        <v>36</v>
      </c>
      <c r="I56" t="s">
        <v>42</v>
      </c>
      <c r="J56" t="s">
        <v>47</v>
      </c>
      <c r="K56">
        <v>2800</v>
      </c>
    </row>
    <row r="57" spans="1:11" x14ac:dyDescent="0.25">
      <c r="A57">
        <v>1114</v>
      </c>
      <c r="B57" s="2">
        <v>46053</v>
      </c>
      <c r="C57" t="s">
        <v>18</v>
      </c>
      <c r="D57" t="s">
        <v>31</v>
      </c>
      <c r="E57" t="s">
        <v>33</v>
      </c>
      <c r="F57">
        <v>3</v>
      </c>
      <c r="G57">
        <v>15000</v>
      </c>
      <c r="H57" t="s">
        <v>38</v>
      </c>
      <c r="I57" t="s">
        <v>44</v>
      </c>
      <c r="J57" t="s">
        <v>46</v>
      </c>
      <c r="K57">
        <v>45000</v>
      </c>
    </row>
    <row r="58" spans="1:11" x14ac:dyDescent="0.25">
      <c r="A58">
        <v>1008</v>
      </c>
      <c r="B58" s="2">
        <v>46110</v>
      </c>
      <c r="C58" t="s">
        <v>25</v>
      </c>
      <c r="D58" t="s">
        <v>28</v>
      </c>
      <c r="E58" t="s">
        <v>33</v>
      </c>
      <c r="F58">
        <v>2</v>
      </c>
      <c r="G58">
        <v>5500</v>
      </c>
      <c r="H58" t="s">
        <v>36</v>
      </c>
      <c r="I58" t="s">
        <v>43</v>
      </c>
      <c r="J58" t="s">
        <v>46</v>
      </c>
      <c r="K58">
        <v>11000</v>
      </c>
    </row>
    <row r="59" spans="1:11" x14ac:dyDescent="0.25">
      <c r="A59">
        <v>1044</v>
      </c>
      <c r="B59" s="2">
        <v>46101</v>
      </c>
      <c r="C59" t="s">
        <v>18</v>
      </c>
      <c r="D59" t="s">
        <v>26</v>
      </c>
      <c r="E59" t="s">
        <v>32</v>
      </c>
      <c r="F59">
        <v>1</v>
      </c>
      <c r="G59">
        <v>1400</v>
      </c>
      <c r="H59" t="s">
        <v>35</v>
      </c>
      <c r="I59" t="s">
        <v>43</v>
      </c>
      <c r="J59" t="s">
        <v>47</v>
      </c>
      <c r="K59">
        <v>1400</v>
      </c>
    </row>
    <row r="60" spans="1:11" x14ac:dyDescent="0.25">
      <c r="A60">
        <v>1073</v>
      </c>
      <c r="B60" s="2">
        <v>46102</v>
      </c>
      <c r="C60" t="s">
        <v>17</v>
      </c>
      <c r="D60" t="s">
        <v>26</v>
      </c>
      <c r="E60" t="s">
        <v>32</v>
      </c>
      <c r="F60">
        <v>2</v>
      </c>
      <c r="G60" t="s">
        <v>34</v>
      </c>
      <c r="H60" t="s">
        <v>37</v>
      </c>
      <c r="I60" t="s">
        <v>43</v>
      </c>
      <c r="J60" t="s">
        <v>48</v>
      </c>
      <c r="K60">
        <v>2800</v>
      </c>
    </row>
    <row r="61" spans="1:11" x14ac:dyDescent="0.25">
      <c r="A61">
        <v>1068</v>
      </c>
      <c r="B61" s="2">
        <v>46038</v>
      </c>
      <c r="C61" t="s">
        <v>21</v>
      </c>
      <c r="D61" t="s">
        <v>30</v>
      </c>
      <c r="E61" t="s">
        <v>32</v>
      </c>
      <c r="F61">
        <v>3</v>
      </c>
      <c r="G61">
        <v>1200</v>
      </c>
      <c r="H61" t="s">
        <v>38</v>
      </c>
      <c r="I61" t="s">
        <v>41</v>
      </c>
      <c r="J61" t="s">
        <v>46</v>
      </c>
      <c r="K61">
        <v>3600</v>
      </c>
    </row>
    <row r="62" spans="1:11" x14ac:dyDescent="0.25">
      <c r="A62">
        <v>1084</v>
      </c>
      <c r="B62" s="2">
        <v>46062</v>
      </c>
      <c r="C62" t="s">
        <v>17</v>
      </c>
      <c r="D62" t="s">
        <v>30</v>
      </c>
      <c r="E62" t="s">
        <v>32</v>
      </c>
      <c r="F62">
        <v>2</v>
      </c>
      <c r="G62">
        <v>1200</v>
      </c>
      <c r="H62" t="s">
        <v>38</v>
      </c>
      <c r="I62" t="s">
        <v>44</v>
      </c>
      <c r="J62" t="s">
        <v>46</v>
      </c>
      <c r="K62">
        <v>2400</v>
      </c>
    </row>
    <row r="63" spans="1:11" x14ac:dyDescent="0.25">
      <c r="A63">
        <v>1028</v>
      </c>
      <c r="B63" s="2">
        <v>46088</v>
      </c>
      <c r="C63" t="s">
        <v>21</v>
      </c>
      <c r="D63" t="s">
        <v>26</v>
      </c>
      <c r="E63" t="s">
        <v>32</v>
      </c>
      <c r="F63">
        <v>1</v>
      </c>
      <c r="G63">
        <v>1400</v>
      </c>
      <c r="H63" t="s">
        <v>38</v>
      </c>
      <c r="I63" t="s">
        <v>42</v>
      </c>
      <c r="J63" t="s">
        <v>46</v>
      </c>
      <c r="K63">
        <v>1400</v>
      </c>
    </row>
    <row r="64" spans="1:11" x14ac:dyDescent="0.25">
      <c r="A64">
        <v>1020</v>
      </c>
      <c r="B64" s="2">
        <v>46027</v>
      </c>
      <c r="C64" t="s">
        <v>21</v>
      </c>
      <c r="D64" t="s">
        <v>27</v>
      </c>
      <c r="E64" t="s">
        <v>32</v>
      </c>
      <c r="F64">
        <v>2</v>
      </c>
      <c r="G64">
        <v>900</v>
      </c>
      <c r="H64" t="s">
        <v>37</v>
      </c>
      <c r="I64" t="s">
        <v>42</v>
      </c>
      <c r="J64" t="s">
        <v>46</v>
      </c>
      <c r="K64">
        <v>1800</v>
      </c>
    </row>
    <row r="65" spans="1:11" x14ac:dyDescent="0.25">
      <c r="A65">
        <v>1096</v>
      </c>
      <c r="B65" s="2">
        <v>46064</v>
      </c>
      <c r="C65" t="s">
        <v>13</v>
      </c>
      <c r="D65" t="s">
        <v>30</v>
      </c>
      <c r="E65" t="s">
        <v>32</v>
      </c>
      <c r="F65">
        <v>2</v>
      </c>
      <c r="G65">
        <v>1200</v>
      </c>
      <c r="H65" t="s">
        <v>35</v>
      </c>
      <c r="I65" t="s">
        <v>43</v>
      </c>
      <c r="J65" t="s">
        <v>48</v>
      </c>
      <c r="K65">
        <v>2400</v>
      </c>
    </row>
    <row r="66" spans="1:11" x14ac:dyDescent="0.25">
      <c r="A66">
        <v>1101</v>
      </c>
      <c r="B66" s="2">
        <v>46029</v>
      </c>
      <c r="C66" t="s">
        <v>12</v>
      </c>
      <c r="D66" t="s">
        <v>30</v>
      </c>
      <c r="E66" t="s">
        <v>32</v>
      </c>
      <c r="F66">
        <v>1</v>
      </c>
      <c r="G66">
        <v>1200</v>
      </c>
      <c r="H66" t="s">
        <v>37</v>
      </c>
      <c r="I66" t="s">
        <v>44</v>
      </c>
      <c r="J66" t="s">
        <v>46</v>
      </c>
      <c r="K66">
        <v>1200</v>
      </c>
    </row>
    <row r="67" spans="1:11" x14ac:dyDescent="0.25">
      <c r="A67">
        <v>1009</v>
      </c>
      <c r="B67" s="2">
        <v>46104</v>
      </c>
      <c r="C67" t="s">
        <v>18</v>
      </c>
      <c r="D67" t="s">
        <v>29</v>
      </c>
      <c r="E67" t="s">
        <v>32</v>
      </c>
      <c r="F67">
        <v>2</v>
      </c>
      <c r="G67">
        <v>500</v>
      </c>
      <c r="H67" t="s">
        <v>35</v>
      </c>
      <c r="I67" t="s">
        <v>41</v>
      </c>
      <c r="J67" t="s">
        <v>46</v>
      </c>
      <c r="K67">
        <v>1000</v>
      </c>
    </row>
    <row r="68" spans="1:11" x14ac:dyDescent="0.25">
      <c r="A68">
        <v>1014</v>
      </c>
      <c r="B68" s="2">
        <v>46067</v>
      </c>
      <c r="C68" t="s">
        <v>18</v>
      </c>
      <c r="D68" t="s">
        <v>29</v>
      </c>
      <c r="E68" t="s">
        <v>32</v>
      </c>
      <c r="F68">
        <v>2</v>
      </c>
      <c r="G68">
        <v>500</v>
      </c>
      <c r="H68" t="s">
        <v>38</v>
      </c>
      <c r="I68" t="s">
        <v>42</v>
      </c>
      <c r="J68" t="s">
        <v>48</v>
      </c>
      <c r="K68">
        <v>1000</v>
      </c>
    </row>
    <row r="69" spans="1:11" x14ac:dyDescent="0.25">
      <c r="A69">
        <v>1085</v>
      </c>
      <c r="B69" s="2">
        <v>46062</v>
      </c>
      <c r="C69" t="s">
        <v>11</v>
      </c>
      <c r="D69" t="s">
        <v>27</v>
      </c>
      <c r="E69" t="s">
        <v>32</v>
      </c>
      <c r="F69">
        <v>1</v>
      </c>
      <c r="G69">
        <v>900</v>
      </c>
      <c r="H69" t="s">
        <v>38</v>
      </c>
      <c r="I69" t="s">
        <v>42</v>
      </c>
      <c r="J69" t="s">
        <v>46</v>
      </c>
      <c r="K69">
        <v>900</v>
      </c>
    </row>
    <row r="70" spans="1:11" x14ac:dyDescent="0.25">
      <c r="A70">
        <v>1004</v>
      </c>
      <c r="B70" s="2">
        <v>46075</v>
      </c>
      <c r="C70" t="s">
        <v>24</v>
      </c>
      <c r="D70" t="s">
        <v>29</v>
      </c>
      <c r="E70" t="s">
        <v>32</v>
      </c>
      <c r="F70">
        <v>1</v>
      </c>
      <c r="G70">
        <v>500</v>
      </c>
      <c r="H70" t="s">
        <v>36</v>
      </c>
      <c r="I70" t="s">
        <v>42</v>
      </c>
      <c r="J70" t="s">
        <v>48</v>
      </c>
      <c r="K70">
        <v>500</v>
      </c>
    </row>
    <row r="71" spans="1:11" x14ac:dyDescent="0.25">
      <c r="A71">
        <v>1018</v>
      </c>
      <c r="B71" s="2">
        <v>46074</v>
      </c>
      <c r="C71" t="s">
        <v>23</v>
      </c>
      <c r="D71" t="s">
        <v>29</v>
      </c>
      <c r="E71" t="s">
        <v>32</v>
      </c>
      <c r="F71">
        <v>1</v>
      </c>
      <c r="G71">
        <v>500</v>
      </c>
      <c r="H71" t="s">
        <v>36</v>
      </c>
      <c r="I71" t="s">
        <v>41</v>
      </c>
      <c r="J71" t="s">
        <v>46</v>
      </c>
      <c r="K71">
        <v>500</v>
      </c>
    </row>
    <row r="72" spans="1:11" x14ac:dyDescent="0.25">
      <c r="A72">
        <v>1039</v>
      </c>
      <c r="B72" s="2">
        <v>46083</v>
      </c>
      <c r="C72" t="s">
        <v>15</v>
      </c>
      <c r="D72" t="s">
        <v>28</v>
      </c>
      <c r="E72" t="s">
        <v>33</v>
      </c>
      <c r="F72">
        <v>1</v>
      </c>
      <c r="G72">
        <v>5500</v>
      </c>
      <c r="H72" t="s">
        <v>37</v>
      </c>
      <c r="I72" t="s">
        <v>42</v>
      </c>
      <c r="J72" t="s">
        <v>46</v>
      </c>
      <c r="K72">
        <v>5500</v>
      </c>
    </row>
    <row r="73" spans="1:11" x14ac:dyDescent="0.25">
      <c r="A73">
        <v>1118</v>
      </c>
      <c r="B73" s="2">
        <v>46027</v>
      </c>
      <c r="C73" t="s">
        <v>13</v>
      </c>
      <c r="D73" t="s">
        <v>31</v>
      </c>
      <c r="E73" t="s">
        <v>33</v>
      </c>
      <c r="F73">
        <v>2</v>
      </c>
      <c r="G73">
        <v>15000</v>
      </c>
      <c r="H73" t="s">
        <v>38</v>
      </c>
      <c r="I73" t="s">
        <v>44</v>
      </c>
      <c r="J73" t="s">
        <v>46</v>
      </c>
      <c r="K73">
        <v>30000</v>
      </c>
    </row>
    <row r="74" spans="1:11" x14ac:dyDescent="0.25">
      <c r="A74">
        <v>1007</v>
      </c>
      <c r="B74" s="2">
        <v>46086</v>
      </c>
      <c r="C74" t="s">
        <v>11</v>
      </c>
      <c r="D74" t="s">
        <v>28</v>
      </c>
      <c r="E74" t="s">
        <v>33</v>
      </c>
      <c r="F74">
        <v>2</v>
      </c>
      <c r="G74">
        <v>5500</v>
      </c>
      <c r="H74" t="s">
        <v>37</v>
      </c>
      <c r="I74" t="s">
        <v>44</v>
      </c>
      <c r="J74" t="s">
        <v>46</v>
      </c>
      <c r="K74">
        <v>11000</v>
      </c>
    </row>
    <row r="75" spans="1:11" x14ac:dyDescent="0.25">
      <c r="A75">
        <v>1078</v>
      </c>
      <c r="B75" s="2">
        <v>46059</v>
      </c>
      <c r="C75" t="s">
        <v>18</v>
      </c>
      <c r="D75" t="s">
        <v>29</v>
      </c>
      <c r="E75" t="s">
        <v>32</v>
      </c>
      <c r="F75">
        <v>1</v>
      </c>
      <c r="G75">
        <v>500</v>
      </c>
      <c r="H75" t="s">
        <v>38</v>
      </c>
      <c r="I75" t="s">
        <v>42</v>
      </c>
      <c r="J75" t="s">
        <v>46</v>
      </c>
      <c r="K75">
        <v>500</v>
      </c>
    </row>
    <row r="76" spans="1:11" x14ac:dyDescent="0.25">
      <c r="A76">
        <v>1112</v>
      </c>
      <c r="B76" s="2">
        <v>46031</v>
      </c>
      <c r="C76" t="s">
        <v>23</v>
      </c>
      <c r="D76" t="s">
        <v>26</v>
      </c>
      <c r="E76" t="s">
        <v>32</v>
      </c>
      <c r="F76">
        <v>1</v>
      </c>
      <c r="G76">
        <v>1400</v>
      </c>
      <c r="H76" t="s">
        <v>35</v>
      </c>
      <c r="I76" t="s">
        <v>44</v>
      </c>
      <c r="J76" t="s">
        <v>46</v>
      </c>
      <c r="K76">
        <v>1400</v>
      </c>
    </row>
    <row r="77" spans="1:11" x14ac:dyDescent="0.25">
      <c r="A77">
        <v>1095</v>
      </c>
      <c r="B77" s="2">
        <v>46076</v>
      </c>
      <c r="C77" t="s">
        <v>24</v>
      </c>
      <c r="D77" t="s">
        <v>30</v>
      </c>
      <c r="E77" t="s">
        <v>32</v>
      </c>
      <c r="F77">
        <v>1</v>
      </c>
      <c r="G77">
        <v>1200</v>
      </c>
      <c r="H77" t="s">
        <v>37</v>
      </c>
      <c r="I77" t="s">
        <v>41</v>
      </c>
      <c r="J77" t="s">
        <v>46</v>
      </c>
      <c r="K77">
        <v>1200</v>
      </c>
    </row>
    <row r="78" spans="1:11" x14ac:dyDescent="0.25">
      <c r="A78">
        <v>1055</v>
      </c>
      <c r="B78" s="2">
        <v>46051</v>
      </c>
      <c r="C78" t="s">
        <v>17</v>
      </c>
      <c r="D78" t="s">
        <v>31</v>
      </c>
      <c r="E78" t="s">
        <v>33</v>
      </c>
      <c r="F78">
        <v>1</v>
      </c>
      <c r="G78">
        <v>15000</v>
      </c>
      <c r="H78" t="s">
        <v>36</v>
      </c>
      <c r="I78" t="s">
        <v>41</v>
      </c>
      <c r="J78" t="s">
        <v>46</v>
      </c>
      <c r="K78">
        <v>15000</v>
      </c>
    </row>
    <row r="79" spans="1:11" x14ac:dyDescent="0.25">
      <c r="A79">
        <v>1051</v>
      </c>
      <c r="B79" s="2">
        <v>46087</v>
      </c>
      <c r="C79" t="s">
        <v>13</v>
      </c>
      <c r="D79" t="s">
        <v>31</v>
      </c>
      <c r="E79" t="s">
        <v>33</v>
      </c>
      <c r="F79">
        <v>2</v>
      </c>
      <c r="G79">
        <v>15000</v>
      </c>
      <c r="H79" t="s">
        <v>35</v>
      </c>
      <c r="I79" t="s">
        <v>42</v>
      </c>
      <c r="J79" t="s">
        <v>47</v>
      </c>
      <c r="K79">
        <v>30000</v>
      </c>
    </row>
    <row r="80" spans="1:11" x14ac:dyDescent="0.25">
      <c r="A80">
        <v>1081</v>
      </c>
      <c r="B80" s="2">
        <v>46061</v>
      </c>
      <c r="C80" t="s">
        <v>23</v>
      </c>
      <c r="D80" t="s">
        <v>28</v>
      </c>
      <c r="E80" t="s">
        <v>33</v>
      </c>
      <c r="F80">
        <v>2</v>
      </c>
      <c r="G80">
        <v>5500</v>
      </c>
      <c r="H80" t="s">
        <v>38</v>
      </c>
      <c r="I80" t="s">
        <v>41</v>
      </c>
      <c r="J80" t="s">
        <v>46</v>
      </c>
      <c r="K80">
        <v>11000</v>
      </c>
    </row>
    <row r="81" spans="1:11" x14ac:dyDescent="0.25">
      <c r="A81">
        <v>1047</v>
      </c>
      <c r="B81" s="2">
        <v>46074</v>
      </c>
      <c r="C81" t="s">
        <v>16</v>
      </c>
      <c r="D81" t="s">
        <v>29</v>
      </c>
      <c r="E81" t="s">
        <v>32</v>
      </c>
      <c r="F81">
        <v>1</v>
      </c>
      <c r="G81">
        <v>500</v>
      </c>
      <c r="H81" t="s">
        <v>35</v>
      </c>
      <c r="I81" t="s">
        <v>43</v>
      </c>
      <c r="J81" t="s">
        <v>48</v>
      </c>
      <c r="K81">
        <v>500</v>
      </c>
    </row>
    <row r="82" spans="1:11" x14ac:dyDescent="0.25">
      <c r="A82">
        <v>1082</v>
      </c>
      <c r="B82" s="2">
        <v>46060</v>
      </c>
      <c r="C82" t="s">
        <v>13</v>
      </c>
      <c r="D82" t="s">
        <v>30</v>
      </c>
      <c r="E82" t="s">
        <v>32</v>
      </c>
      <c r="F82">
        <v>1</v>
      </c>
      <c r="G82">
        <v>1200</v>
      </c>
      <c r="H82" t="s">
        <v>38</v>
      </c>
      <c r="I82" t="s">
        <v>42</v>
      </c>
      <c r="J82" t="s">
        <v>46</v>
      </c>
      <c r="K82">
        <v>1200</v>
      </c>
    </row>
    <row r="83" spans="1:11" x14ac:dyDescent="0.25">
      <c r="A83">
        <v>1062</v>
      </c>
      <c r="B83" s="2">
        <v>46084</v>
      </c>
      <c r="C83" t="s">
        <v>14</v>
      </c>
      <c r="D83" t="s">
        <v>26</v>
      </c>
      <c r="E83" t="s">
        <v>32</v>
      </c>
      <c r="F83">
        <v>1</v>
      </c>
      <c r="G83">
        <v>1400</v>
      </c>
      <c r="H83" t="s">
        <v>37</v>
      </c>
      <c r="I83" t="s">
        <v>41</v>
      </c>
      <c r="J83" t="s">
        <v>46</v>
      </c>
      <c r="K83">
        <v>1400</v>
      </c>
    </row>
    <row r="84" spans="1:11" x14ac:dyDescent="0.25">
      <c r="A84">
        <v>1117</v>
      </c>
      <c r="B84" s="2">
        <v>46063</v>
      </c>
      <c r="C84" t="s">
        <v>17</v>
      </c>
      <c r="D84" t="s">
        <v>30</v>
      </c>
      <c r="E84" t="s">
        <v>32</v>
      </c>
      <c r="F84">
        <v>2</v>
      </c>
      <c r="G84">
        <v>1200</v>
      </c>
      <c r="H84" t="s">
        <v>37</v>
      </c>
      <c r="I84" t="s">
        <v>42</v>
      </c>
      <c r="J84" t="s">
        <v>48</v>
      </c>
      <c r="K84">
        <v>2400</v>
      </c>
    </row>
    <row r="85" spans="1:11" x14ac:dyDescent="0.25">
      <c r="A85">
        <v>1080</v>
      </c>
      <c r="B85" s="2">
        <v>46055</v>
      </c>
      <c r="C85" t="s">
        <v>12</v>
      </c>
      <c r="D85" t="s">
        <v>28</v>
      </c>
      <c r="E85" t="s">
        <v>33</v>
      </c>
      <c r="F85">
        <v>1</v>
      </c>
      <c r="G85">
        <v>5500</v>
      </c>
      <c r="H85" t="s">
        <v>36</v>
      </c>
      <c r="I85" t="s">
        <v>41</v>
      </c>
      <c r="J85" t="s">
        <v>47</v>
      </c>
      <c r="K85">
        <v>5500</v>
      </c>
    </row>
    <row r="86" spans="1:11" x14ac:dyDescent="0.25">
      <c r="A86">
        <v>1094</v>
      </c>
      <c r="B86" s="2">
        <v>46043</v>
      </c>
      <c r="C86" t="s">
        <v>14</v>
      </c>
      <c r="D86" t="s">
        <v>31</v>
      </c>
      <c r="E86" t="s">
        <v>33</v>
      </c>
      <c r="F86">
        <v>1</v>
      </c>
      <c r="G86">
        <v>15000</v>
      </c>
      <c r="H86" t="s">
        <v>36</v>
      </c>
      <c r="I86" t="s">
        <v>41</v>
      </c>
      <c r="J86" t="s">
        <v>46</v>
      </c>
      <c r="K86">
        <v>15000</v>
      </c>
    </row>
    <row r="87" spans="1:11" x14ac:dyDescent="0.25">
      <c r="A87">
        <v>1042</v>
      </c>
      <c r="B87" s="2">
        <v>46058</v>
      </c>
      <c r="C87" t="s">
        <v>24</v>
      </c>
      <c r="D87" t="s">
        <v>29</v>
      </c>
      <c r="E87" t="s">
        <v>32</v>
      </c>
      <c r="F87">
        <v>2</v>
      </c>
      <c r="G87">
        <v>500</v>
      </c>
      <c r="H87" t="s">
        <v>36</v>
      </c>
      <c r="I87" t="s">
        <v>44</v>
      </c>
      <c r="J87" t="s">
        <v>48</v>
      </c>
      <c r="K87">
        <v>1000</v>
      </c>
    </row>
    <row r="88" spans="1:11" x14ac:dyDescent="0.25">
      <c r="A88">
        <v>1059</v>
      </c>
      <c r="B88" s="2">
        <v>46086</v>
      </c>
      <c r="C88" t="s">
        <v>17</v>
      </c>
      <c r="D88" t="s">
        <v>28</v>
      </c>
      <c r="E88" t="s">
        <v>33</v>
      </c>
      <c r="F88">
        <v>1</v>
      </c>
      <c r="G88">
        <v>5500</v>
      </c>
      <c r="H88" t="s">
        <v>36</v>
      </c>
      <c r="I88" t="s">
        <v>44</v>
      </c>
      <c r="J88" t="s">
        <v>48</v>
      </c>
      <c r="K88">
        <v>5500</v>
      </c>
    </row>
    <row r="89" spans="1:11" x14ac:dyDescent="0.25">
      <c r="A89">
        <v>1049</v>
      </c>
      <c r="B89" s="2">
        <v>46077</v>
      </c>
      <c r="C89" t="s">
        <v>14</v>
      </c>
      <c r="D89" t="s">
        <v>26</v>
      </c>
      <c r="E89" t="s">
        <v>32</v>
      </c>
      <c r="F89">
        <v>3</v>
      </c>
      <c r="G89">
        <v>1400</v>
      </c>
      <c r="H89" t="s">
        <v>35</v>
      </c>
      <c r="I89" t="s">
        <v>42</v>
      </c>
      <c r="J89" t="s">
        <v>48</v>
      </c>
      <c r="K89">
        <v>4200</v>
      </c>
    </row>
    <row r="90" spans="1:11" x14ac:dyDescent="0.25">
      <c r="A90">
        <v>1102</v>
      </c>
      <c r="B90" s="2">
        <v>46082</v>
      </c>
      <c r="C90" t="s">
        <v>18</v>
      </c>
      <c r="D90" t="s">
        <v>29</v>
      </c>
      <c r="E90" t="s">
        <v>32</v>
      </c>
      <c r="F90">
        <v>1</v>
      </c>
      <c r="G90">
        <v>500</v>
      </c>
      <c r="H90" t="s">
        <v>37</v>
      </c>
      <c r="I90" t="s">
        <v>44</v>
      </c>
      <c r="J90" t="s">
        <v>48</v>
      </c>
      <c r="K90">
        <v>500</v>
      </c>
    </row>
    <row r="91" spans="1:11" x14ac:dyDescent="0.25">
      <c r="A91">
        <v>1058</v>
      </c>
      <c r="B91" s="2">
        <v>46068</v>
      </c>
      <c r="C91" t="s">
        <v>23</v>
      </c>
      <c r="D91" t="s">
        <v>27</v>
      </c>
      <c r="E91" t="s">
        <v>32</v>
      </c>
      <c r="F91">
        <v>3</v>
      </c>
      <c r="G91">
        <v>900</v>
      </c>
      <c r="H91" t="s">
        <v>37</v>
      </c>
      <c r="I91" t="s">
        <v>42</v>
      </c>
      <c r="J91" t="s">
        <v>48</v>
      </c>
      <c r="K91">
        <v>2700</v>
      </c>
    </row>
    <row r="92" spans="1:11" x14ac:dyDescent="0.25">
      <c r="A92">
        <v>1076</v>
      </c>
      <c r="B92" s="2">
        <v>46030</v>
      </c>
      <c r="C92" t="s">
        <v>20</v>
      </c>
      <c r="D92" t="s">
        <v>28</v>
      </c>
      <c r="E92" t="s">
        <v>33</v>
      </c>
      <c r="F92">
        <v>1</v>
      </c>
      <c r="G92">
        <v>5500</v>
      </c>
      <c r="H92" t="s">
        <v>35</v>
      </c>
      <c r="I92" t="s">
        <v>42</v>
      </c>
      <c r="J92" t="s">
        <v>48</v>
      </c>
      <c r="K92">
        <v>5500</v>
      </c>
    </row>
    <row r="93" spans="1:11" x14ac:dyDescent="0.25">
      <c r="A93">
        <v>1033</v>
      </c>
      <c r="B93" s="2">
        <v>46028</v>
      </c>
      <c r="C93" t="s">
        <v>21</v>
      </c>
      <c r="D93" t="s">
        <v>31</v>
      </c>
      <c r="E93" t="s">
        <v>33</v>
      </c>
      <c r="F93">
        <v>1</v>
      </c>
      <c r="G93">
        <v>15000</v>
      </c>
      <c r="H93" t="s">
        <v>35</v>
      </c>
      <c r="I93" t="s">
        <v>41</v>
      </c>
      <c r="J93" t="s">
        <v>46</v>
      </c>
      <c r="K93">
        <v>15000</v>
      </c>
    </row>
    <row r="94" spans="1:11" x14ac:dyDescent="0.25">
      <c r="A94">
        <v>1113</v>
      </c>
      <c r="B94" s="2">
        <v>46075</v>
      </c>
      <c r="C94" t="s">
        <v>24</v>
      </c>
      <c r="D94" t="s">
        <v>26</v>
      </c>
      <c r="E94" t="s">
        <v>32</v>
      </c>
      <c r="F94">
        <v>1</v>
      </c>
      <c r="G94">
        <v>1400</v>
      </c>
      <c r="H94" t="s">
        <v>38</v>
      </c>
      <c r="I94" t="s">
        <v>41</v>
      </c>
      <c r="J94" t="s">
        <v>46</v>
      </c>
      <c r="K94">
        <v>1400</v>
      </c>
    </row>
    <row r="95" spans="1:11" x14ac:dyDescent="0.25">
      <c r="A95">
        <v>1060</v>
      </c>
      <c r="B95" s="2">
        <v>46091</v>
      </c>
      <c r="C95" t="s">
        <v>20</v>
      </c>
      <c r="D95" t="s">
        <v>29</v>
      </c>
      <c r="E95" t="s">
        <v>32</v>
      </c>
      <c r="F95">
        <v>2</v>
      </c>
      <c r="G95">
        <v>500</v>
      </c>
      <c r="H95" t="s">
        <v>35</v>
      </c>
      <c r="I95" t="s">
        <v>41</v>
      </c>
      <c r="J95" t="s">
        <v>47</v>
      </c>
      <c r="K95">
        <v>1000</v>
      </c>
    </row>
    <row r="96" spans="1:11" x14ac:dyDescent="0.25">
      <c r="A96">
        <v>1064</v>
      </c>
      <c r="B96" s="2">
        <v>46034</v>
      </c>
      <c r="C96" t="s">
        <v>21</v>
      </c>
      <c r="D96" t="s">
        <v>27</v>
      </c>
      <c r="E96" t="s">
        <v>32</v>
      </c>
      <c r="F96">
        <v>2</v>
      </c>
      <c r="G96">
        <v>900</v>
      </c>
      <c r="H96" t="s">
        <v>35</v>
      </c>
      <c r="I96" t="s">
        <v>43</v>
      </c>
      <c r="J96" t="s">
        <v>48</v>
      </c>
      <c r="K96">
        <v>1800</v>
      </c>
    </row>
    <row r="97" spans="1:11" x14ac:dyDescent="0.25">
      <c r="A97">
        <v>1106</v>
      </c>
      <c r="B97" s="2">
        <v>46101</v>
      </c>
      <c r="C97" t="s">
        <v>12</v>
      </c>
      <c r="D97" t="s">
        <v>26</v>
      </c>
      <c r="E97" t="s">
        <v>32</v>
      </c>
      <c r="F97">
        <v>1</v>
      </c>
      <c r="G97">
        <v>1400</v>
      </c>
      <c r="H97" t="s">
        <v>37</v>
      </c>
      <c r="I97" t="s">
        <v>43</v>
      </c>
      <c r="J97" t="s">
        <v>46</v>
      </c>
      <c r="K97">
        <v>1400</v>
      </c>
    </row>
    <row r="98" spans="1:11" x14ac:dyDescent="0.25">
      <c r="A98">
        <v>1038</v>
      </c>
      <c r="B98" s="2">
        <v>46097</v>
      </c>
      <c r="C98" t="s">
        <v>16</v>
      </c>
      <c r="D98" t="s">
        <v>27</v>
      </c>
      <c r="E98" t="s">
        <v>32</v>
      </c>
      <c r="F98">
        <v>1</v>
      </c>
      <c r="G98">
        <v>900</v>
      </c>
      <c r="H98" t="s">
        <v>38</v>
      </c>
      <c r="I98" t="s">
        <v>44</v>
      </c>
      <c r="J98" t="s">
        <v>47</v>
      </c>
      <c r="K98">
        <v>900</v>
      </c>
    </row>
    <row r="99" spans="1:11" x14ac:dyDescent="0.25">
      <c r="A99">
        <v>1030</v>
      </c>
      <c r="B99" s="2">
        <v>46084</v>
      </c>
      <c r="C99" t="s">
        <v>16</v>
      </c>
      <c r="D99" t="s">
        <v>31</v>
      </c>
      <c r="E99" t="s">
        <v>33</v>
      </c>
      <c r="F99">
        <v>3</v>
      </c>
      <c r="G99">
        <v>15000</v>
      </c>
      <c r="H99" t="s">
        <v>35</v>
      </c>
      <c r="I99" t="s">
        <v>41</v>
      </c>
      <c r="J99" t="s">
        <v>46</v>
      </c>
      <c r="K99">
        <v>45000</v>
      </c>
    </row>
    <row r="100" spans="1:11" x14ac:dyDescent="0.25">
      <c r="A100">
        <v>1116</v>
      </c>
      <c r="B100" s="2">
        <v>46095</v>
      </c>
      <c r="C100" t="s">
        <v>21</v>
      </c>
      <c r="D100" t="s">
        <v>26</v>
      </c>
      <c r="E100" t="s">
        <v>32</v>
      </c>
      <c r="F100">
        <v>2</v>
      </c>
      <c r="G100">
        <v>1400</v>
      </c>
      <c r="H100" t="s">
        <v>37</v>
      </c>
      <c r="I100" t="s">
        <v>42</v>
      </c>
      <c r="J100" t="s">
        <v>46</v>
      </c>
      <c r="K100">
        <v>2800</v>
      </c>
    </row>
    <row r="101" spans="1:11" x14ac:dyDescent="0.25">
      <c r="A101">
        <v>1002</v>
      </c>
      <c r="B101" s="2">
        <v>46050</v>
      </c>
      <c r="C101" t="s">
        <v>13</v>
      </c>
      <c r="D101" t="s">
        <v>27</v>
      </c>
      <c r="E101" t="s">
        <v>32</v>
      </c>
      <c r="F101">
        <v>1</v>
      </c>
      <c r="G101">
        <v>900</v>
      </c>
      <c r="H101" t="s">
        <v>37</v>
      </c>
      <c r="I101" t="s">
        <v>44</v>
      </c>
      <c r="J101" t="s">
        <v>46</v>
      </c>
      <c r="K101">
        <v>900</v>
      </c>
    </row>
    <row r="102" spans="1:11" x14ac:dyDescent="0.25">
      <c r="A102">
        <v>1053</v>
      </c>
      <c r="B102" s="2">
        <v>46050</v>
      </c>
      <c r="C102" t="s">
        <v>18</v>
      </c>
      <c r="D102" t="s">
        <v>29</v>
      </c>
      <c r="E102" t="s">
        <v>32</v>
      </c>
      <c r="F102">
        <v>1</v>
      </c>
      <c r="G102">
        <v>500</v>
      </c>
      <c r="H102" t="s">
        <v>37</v>
      </c>
      <c r="I102" t="s">
        <v>44</v>
      </c>
      <c r="J102" t="s">
        <v>48</v>
      </c>
      <c r="K102">
        <v>500</v>
      </c>
    </row>
    <row r="103" spans="1:11" x14ac:dyDescent="0.25">
      <c r="A103">
        <v>1022</v>
      </c>
      <c r="B103" s="2">
        <v>46078</v>
      </c>
      <c r="C103" t="s">
        <v>16</v>
      </c>
      <c r="D103" t="s">
        <v>30</v>
      </c>
      <c r="E103" t="s">
        <v>32</v>
      </c>
      <c r="F103">
        <v>1</v>
      </c>
      <c r="G103">
        <v>1200</v>
      </c>
      <c r="H103" t="s">
        <v>37</v>
      </c>
      <c r="I103" t="s">
        <v>44</v>
      </c>
      <c r="J103" t="s">
        <v>46</v>
      </c>
      <c r="K103">
        <v>1200</v>
      </c>
    </row>
    <row r="104" spans="1:11" x14ac:dyDescent="0.25">
      <c r="A104">
        <v>1003</v>
      </c>
      <c r="B104" s="2">
        <v>46090</v>
      </c>
      <c r="C104" t="s">
        <v>12</v>
      </c>
      <c r="D104" t="s">
        <v>28</v>
      </c>
      <c r="E104" t="s">
        <v>33</v>
      </c>
      <c r="F104">
        <v>2</v>
      </c>
      <c r="G104">
        <v>5500</v>
      </c>
      <c r="H104" t="s">
        <v>38</v>
      </c>
      <c r="I104" t="s">
        <v>44</v>
      </c>
      <c r="J104" t="s">
        <v>46</v>
      </c>
      <c r="K104">
        <v>11000</v>
      </c>
    </row>
    <row r="105" spans="1:11" x14ac:dyDescent="0.25">
      <c r="A105">
        <v>1024</v>
      </c>
      <c r="B105" s="2">
        <v>46068</v>
      </c>
      <c r="C105" t="s">
        <v>15</v>
      </c>
      <c r="D105" t="s">
        <v>26</v>
      </c>
      <c r="E105" t="s">
        <v>32</v>
      </c>
      <c r="F105">
        <v>2</v>
      </c>
      <c r="G105">
        <v>1400</v>
      </c>
      <c r="H105" t="s">
        <v>38</v>
      </c>
      <c r="I105" t="s">
        <v>41</v>
      </c>
      <c r="J105" t="s">
        <v>46</v>
      </c>
      <c r="K105">
        <v>2800</v>
      </c>
    </row>
    <row r="106" spans="1:11" x14ac:dyDescent="0.25">
      <c r="A106">
        <v>1104</v>
      </c>
      <c r="B106" s="2">
        <v>46062</v>
      </c>
      <c r="C106" t="s">
        <v>13</v>
      </c>
      <c r="D106" t="s">
        <v>30</v>
      </c>
      <c r="E106" t="s">
        <v>32</v>
      </c>
      <c r="F106">
        <v>1</v>
      </c>
      <c r="G106">
        <v>1200</v>
      </c>
      <c r="H106" t="s">
        <v>36</v>
      </c>
      <c r="I106" t="s">
        <v>43</v>
      </c>
      <c r="J106" t="s">
        <v>47</v>
      </c>
      <c r="K106">
        <v>1200</v>
      </c>
    </row>
    <row r="107" spans="1:11" x14ac:dyDescent="0.25">
      <c r="A107">
        <v>1100</v>
      </c>
      <c r="B107" s="2">
        <v>46084</v>
      </c>
      <c r="C107" t="s">
        <v>16</v>
      </c>
      <c r="D107" t="s">
        <v>30</v>
      </c>
      <c r="E107" t="s">
        <v>32</v>
      </c>
      <c r="F107">
        <v>2</v>
      </c>
      <c r="G107">
        <v>1200</v>
      </c>
      <c r="H107" t="s">
        <v>35</v>
      </c>
      <c r="I107" t="s">
        <v>43</v>
      </c>
      <c r="J107" t="s">
        <v>46</v>
      </c>
      <c r="K107">
        <v>2400</v>
      </c>
    </row>
    <row r="108" spans="1:11" x14ac:dyDescent="0.25">
      <c r="A108">
        <v>1088</v>
      </c>
      <c r="B108" s="2">
        <v>46045</v>
      </c>
      <c r="C108" t="s">
        <v>18</v>
      </c>
      <c r="D108" t="s">
        <v>26</v>
      </c>
      <c r="E108" t="s">
        <v>32</v>
      </c>
      <c r="F108">
        <v>2</v>
      </c>
      <c r="G108">
        <v>1400</v>
      </c>
      <c r="H108" t="s">
        <v>35</v>
      </c>
      <c r="I108" t="s">
        <v>43</v>
      </c>
      <c r="J108" t="s">
        <v>46</v>
      </c>
      <c r="K108">
        <v>2800</v>
      </c>
    </row>
    <row r="109" spans="1:11" x14ac:dyDescent="0.25">
      <c r="A109">
        <v>1109</v>
      </c>
      <c r="B109" s="2">
        <v>46089</v>
      </c>
      <c r="C109" t="s">
        <v>18</v>
      </c>
      <c r="D109" t="s">
        <v>31</v>
      </c>
      <c r="E109" t="s">
        <v>33</v>
      </c>
      <c r="F109">
        <v>2</v>
      </c>
      <c r="G109">
        <v>15000</v>
      </c>
      <c r="H109" t="s">
        <v>38</v>
      </c>
      <c r="I109" t="s">
        <v>44</v>
      </c>
      <c r="J109" t="s">
        <v>46</v>
      </c>
      <c r="K109">
        <v>30000</v>
      </c>
    </row>
    <row r="110" spans="1:11" x14ac:dyDescent="0.25">
      <c r="A110">
        <v>1075</v>
      </c>
      <c r="B110" s="2">
        <v>46078</v>
      </c>
      <c r="C110" t="s">
        <v>17</v>
      </c>
      <c r="D110" t="s">
        <v>30</v>
      </c>
      <c r="E110" t="s">
        <v>32</v>
      </c>
      <c r="F110">
        <v>2</v>
      </c>
      <c r="G110">
        <v>1200</v>
      </c>
      <c r="H110" t="s">
        <v>37</v>
      </c>
      <c r="I110" t="s">
        <v>42</v>
      </c>
      <c r="J110" t="s">
        <v>46</v>
      </c>
      <c r="K110">
        <v>2400</v>
      </c>
    </row>
    <row r="111" spans="1:11" x14ac:dyDescent="0.25">
      <c r="A111">
        <v>1087</v>
      </c>
      <c r="B111" s="2">
        <v>46088</v>
      </c>
      <c r="C111" t="s">
        <v>16</v>
      </c>
      <c r="D111" t="s">
        <v>31</v>
      </c>
      <c r="E111" t="s">
        <v>33</v>
      </c>
      <c r="F111">
        <v>3</v>
      </c>
      <c r="G111">
        <v>15000</v>
      </c>
      <c r="H111" t="s">
        <v>35</v>
      </c>
      <c r="I111" t="s">
        <v>44</v>
      </c>
      <c r="J111" t="s">
        <v>46</v>
      </c>
      <c r="K111">
        <v>45000</v>
      </c>
    </row>
    <row r="112" spans="1:11" x14ac:dyDescent="0.25">
      <c r="A112">
        <v>1083</v>
      </c>
      <c r="B112" s="2">
        <v>46101</v>
      </c>
      <c r="C112" t="s">
        <v>20</v>
      </c>
      <c r="D112" t="s">
        <v>29</v>
      </c>
      <c r="E112" t="s">
        <v>32</v>
      </c>
      <c r="F112">
        <v>1</v>
      </c>
      <c r="G112">
        <v>500</v>
      </c>
      <c r="H112" t="s">
        <v>35</v>
      </c>
      <c r="I112" t="s">
        <v>44</v>
      </c>
      <c r="J112" t="s">
        <v>48</v>
      </c>
      <c r="K112">
        <v>500</v>
      </c>
    </row>
    <row r="113" spans="1:11" x14ac:dyDescent="0.25">
      <c r="A113">
        <v>1120</v>
      </c>
      <c r="B113" s="2">
        <v>46080</v>
      </c>
      <c r="C113" t="s">
        <v>14</v>
      </c>
      <c r="D113" t="s">
        <v>28</v>
      </c>
      <c r="E113" t="s">
        <v>33</v>
      </c>
      <c r="F113">
        <v>1</v>
      </c>
      <c r="G113">
        <v>5500</v>
      </c>
      <c r="H113" t="s">
        <v>36</v>
      </c>
      <c r="I113" t="s">
        <v>42</v>
      </c>
      <c r="J113" t="s">
        <v>46</v>
      </c>
      <c r="K113">
        <v>5500</v>
      </c>
    </row>
    <row r="114" spans="1:11" x14ac:dyDescent="0.25">
      <c r="A114">
        <v>1021</v>
      </c>
      <c r="B114" s="2">
        <v>46105</v>
      </c>
      <c r="C114" t="s">
        <v>17</v>
      </c>
      <c r="D114" t="s">
        <v>26</v>
      </c>
      <c r="E114" t="s">
        <v>32</v>
      </c>
      <c r="F114">
        <v>1</v>
      </c>
      <c r="G114">
        <v>1400</v>
      </c>
      <c r="H114" t="s">
        <v>37</v>
      </c>
      <c r="I114" t="s">
        <v>43</v>
      </c>
      <c r="J114" t="s">
        <v>46</v>
      </c>
      <c r="K114">
        <v>1400</v>
      </c>
    </row>
    <row r="115" spans="1:11" x14ac:dyDescent="0.25">
      <c r="A115">
        <v>1061</v>
      </c>
      <c r="B115" s="2">
        <v>46041</v>
      </c>
      <c r="C115" t="s">
        <v>12</v>
      </c>
      <c r="D115" t="s">
        <v>26</v>
      </c>
      <c r="E115" t="s">
        <v>32</v>
      </c>
      <c r="F115">
        <v>2</v>
      </c>
      <c r="G115">
        <v>1400</v>
      </c>
      <c r="H115" t="s">
        <v>37</v>
      </c>
      <c r="I115" t="s">
        <v>41</v>
      </c>
      <c r="J115" t="s">
        <v>46</v>
      </c>
      <c r="K115">
        <v>2800</v>
      </c>
    </row>
    <row r="116" spans="1:11" x14ac:dyDescent="0.25">
      <c r="A116">
        <v>1072</v>
      </c>
      <c r="B116" s="2">
        <v>46095</v>
      </c>
      <c r="C116" t="s">
        <v>18</v>
      </c>
      <c r="D116" t="s">
        <v>31</v>
      </c>
      <c r="E116" t="s">
        <v>33</v>
      </c>
      <c r="F116">
        <v>2</v>
      </c>
      <c r="G116">
        <v>15000</v>
      </c>
      <c r="H116" t="s">
        <v>37</v>
      </c>
      <c r="I116" t="s">
        <v>41</v>
      </c>
      <c r="J116" t="s">
        <v>47</v>
      </c>
      <c r="K116">
        <v>30000</v>
      </c>
    </row>
    <row r="117" spans="1:11" x14ac:dyDescent="0.25">
      <c r="A117">
        <v>1107</v>
      </c>
      <c r="B117" s="2">
        <v>46034</v>
      </c>
      <c r="C117" t="s">
        <v>17</v>
      </c>
      <c r="D117" t="s">
        <v>26</v>
      </c>
      <c r="E117" t="s">
        <v>32</v>
      </c>
      <c r="F117">
        <v>2</v>
      </c>
      <c r="G117">
        <v>1400</v>
      </c>
      <c r="H117" t="s">
        <v>35</v>
      </c>
      <c r="I117" t="s">
        <v>43</v>
      </c>
      <c r="J117" t="s">
        <v>47</v>
      </c>
      <c r="K117">
        <v>2800</v>
      </c>
    </row>
    <row r="118" spans="1:11" x14ac:dyDescent="0.25">
      <c r="A118">
        <v>1015</v>
      </c>
      <c r="B118" s="2">
        <v>46034</v>
      </c>
      <c r="C118" t="s">
        <v>20</v>
      </c>
      <c r="D118" t="s">
        <v>31</v>
      </c>
      <c r="E118" t="s">
        <v>33</v>
      </c>
      <c r="F118">
        <v>1</v>
      </c>
      <c r="G118">
        <v>15000</v>
      </c>
      <c r="H118" t="s">
        <v>36</v>
      </c>
      <c r="I118" t="s">
        <v>42</v>
      </c>
      <c r="J118" t="s">
        <v>47</v>
      </c>
      <c r="K118">
        <v>15000</v>
      </c>
    </row>
    <row r="119" spans="1:11" x14ac:dyDescent="0.25">
      <c r="A119">
        <v>1093</v>
      </c>
      <c r="B119" s="2">
        <v>46101</v>
      </c>
      <c r="C119" t="s">
        <v>11</v>
      </c>
      <c r="D119" t="s">
        <v>28</v>
      </c>
      <c r="E119" t="s">
        <v>33</v>
      </c>
      <c r="F119">
        <v>2</v>
      </c>
      <c r="G119">
        <v>5500</v>
      </c>
      <c r="H119" t="s">
        <v>36</v>
      </c>
      <c r="I119" t="s">
        <v>43</v>
      </c>
      <c r="J119" t="s">
        <v>46</v>
      </c>
      <c r="K119">
        <v>11000</v>
      </c>
    </row>
    <row r="120" spans="1:11" x14ac:dyDescent="0.25">
      <c r="A120">
        <v>1052</v>
      </c>
      <c r="B120" s="2">
        <v>46056</v>
      </c>
      <c r="C120" t="s">
        <v>21</v>
      </c>
      <c r="D120" t="s">
        <v>31</v>
      </c>
      <c r="E120" t="s">
        <v>33</v>
      </c>
      <c r="F120">
        <v>1</v>
      </c>
      <c r="G120">
        <v>15000</v>
      </c>
      <c r="H120" t="s">
        <v>37</v>
      </c>
      <c r="I120" t="s">
        <v>42</v>
      </c>
      <c r="J120" t="s">
        <v>47</v>
      </c>
      <c r="K120">
        <v>15000</v>
      </c>
    </row>
    <row r="121" spans="1:11" x14ac:dyDescent="0.25">
      <c r="A121">
        <v>1103</v>
      </c>
      <c r="B121" s="2">
        <v>46071</v>
      </c>
      <c r="C121" t="s">
        <v>21</v>
      </c>
      <c r="D121" t="s">
        <v>26</v>
      </c>
      <c r="E121" t="s">
        <v>32</v>
      </c>
      <c r="F121">
        <v>1</v>
      </c>
      <c r="G121">
        <v>1400</v>
      </c>
      <c r="H121" t="s">
        <v>35</v>
      </c>
      <c r="I121" t="s">
        <v>41</v>
      </c>
      <c r="J121" t="s">
        <v>47</v>
      </c>
      <c r="K121">
        <v>1400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314F0-4B83-4D22-B72A-F509A71426ED}">
  <dimension ref="A1:E26"/>
  <sheetViews>
    <sheetView tabSelected="1" topLeftCell="A11" workbookViewId="0">
      <selection activeCell="D26" sqref="D26"/>
    </sheetView>
  </sheetViews>
  <sheetFormatPr baseColWidth="10" defaultRowHeight="15" x14ac:dyDescent="0.25"/>
  <cols>
    <col min="2" max="2" width="60.7109375" style="22" customWidth="1"/>
    <col min="3" max="3" width="25.7109375" style="22" customWidth="1"/>
    <col min="4" max="4" width="70.7109375" style="22" customWidth="1"/>
    <col min="5" max="5" width="50.7109375" style="22" customWidth="1"/>
  </cols>
  <sheetData>
    <row r="1" spans="1:5" x14ac:dyDescent="0.25">
      <c r="A1" s="26" t="s">
        <v>49</v>
      </c>
      <c r="B1" s="27" t="s">
        <v>50</v>
      </c>
      <c r="C1" s="28" t="s">
        <v>51</v>
      </c>
      <c r="D1" s="27" t="s">
        <v>52</v>
      </c>
      <c r="E1" s="29" t="s">
        <v>53</v>
      </c>
    </row>
    <row r="2" spans="1:5" x14ac:dyDescent="0.25">
      <c r="A2" s="30">
        <v>1.1000000000000001</v>
      </c>
      <c r="B2" s="22" t="s">
        <v>54</v>
      </c>
      <c r="C2" s="24" t="s">
        <v>55</v>
      </c>
      <c r="D2" s="25" t="s">
        <v>56</v>
      </c>
      <c r="E2" s="31"/>
    </row>
    <row r="3" spans="1:5" ht="45" x14ac:dyDescent="0.25">
      <c r="A3" s="30">
        <v>1.2</v>
      </c>
      <c r="B3" s="22" t="s">
        <v>57</v>
      </c>
      <c r="C3" s="24" t="s">
        <v>59</v>
      </c>
      <c r="D3" s="25" t="s">
        <v>62</v>
      </c>
      <c r="E3" s="31" t="s">
        <v>120</v>
      </c>
    </row>
    <row r="4" spans="1:5" ht="60" x14ac:dyDescent="0.25">
      <c r="A4" s="30">
        <v>1.3</v>
      </c>
      <c r="B4" s="22" t="s">
        <v>63</v>
      </c>
      <c r="C4" s="24"/>
      <c r="D4" s="25" t="s">
        <v>64</v>
      </c>
      <c r="E4" s="31"/>
    </row>
    <row r="5" spans="1:5" ht="60" x14ac:dyDescent="0.25">
      <c r="A5" s="30">
        <v>2.1</v>
      </c>
      <c r="B5" s="22" t="s">
        <v>65</v>
      </c>
      <c r="C5" s="24"/>
      <c r="D5" s="25" t="s">
        <v>66</v>
      </c>
      <c r="E5" s="31"/>
    </row>
    <row r="6" spans="1:5" x14ac:dyDescent="0.25">
      <c r="A6" s="30">
        <v>4.0999999999999996</v>
      </c>
      <c r="B6" s="22" t="s">
        <v>71</v>
      </c>
      <c r="C6" s="24" t="s">
        <v>75</v>
      </c>
      <c r="D6" s="38">
        <v>729700</v>
      </c>
      <c r="E6" s="31"/>
    </row>
    <row r="7" spans="1:5" x14ac:dyDescent="0.25">
      <c r="A7" s="30">
        <v>4.2</v>
      </c>
      <c r="B7" s="22" t="s">
        <v>70</v>
      </c>
      <c r="C7" s="24" t="s">
        <v>76</v>
      </c>
      <c r="D7" s="39">
        <v>6080.8</v>
      </c>
      <c r="E7" s="31"/>
    </row>
    <row r="8" spans="1:5" x14ac:dyDescent="0.25">
      <c r="A8" s="30">
        <v>4.3</v>
      </c>
      <c r="B8" s="22" t="s">
        <v>77</v>
      </c>
      <c r="C8" s="24" t="s">
        <v>59</v>
      </c>
      <c r="D8" s="25" t="s">
        <v>81</v>
      </c>
      <c r="E8" s="31"/>
    </row>
    <row r="9" spans="1:5" x14ac:dyDescent="0.25">
      <c r="A9" s="30">
        <v>5.0999999999999996</v>
      </c>
      <c r="B9" s="22" t="s">
        <v>78</v>
      </c>
      <c r="C9" s="24" t="s">
        <v>59</v>
      </c>
      <c r="D9" s="25" t="s">
        <v>82</v>
      </c>
      <c r="E9" s="31"/>
    </row>
    <row r="10" spans="1:5" x14ac:dyDescent="0.25">
      <c r="A10" s="30">
        <v>5.2</v>
      </c>
      <c r="B10" s="22" t="s">
        <v>79</v>
      </c>
      <c r="C10" s="24" t="s">
        <v>59</v>
      </c>
      <c r="D10" s="25" t="s">
        <v>84</v>
      </c>
      <c r="E10" s="31"/>
    </row>
    <row r="11" spans="1:5" ht="60" x14ac:dyDescent="0.25">
      <c r="A11" s="30">
        <v>5.3</v>
      </c>
      <c r="B11" s="22" t="s">
        <v>80</v>
      </c>
      <c r="C11" s="24" t="s">
        <v>59</v>
      </c>
      <c r="D11" s="25" t="s">
        <v>122</v>
      </c>
      <c r="E11" s="31"/>
    </row>
    <row r="12" spans="1:5" ht="30" x14ac:dyDescent="0.25">
      <c r="A12" s="30">
        <v>6.1</v>
      </c>
      <c r="B12" s="22" t="s">
        <v>85</v>
      </c>
      <c r="C12" s="24" t="s">
        <v>59</v>
      </c>
      <c r="D12" s="25" t="s">
        <v>89</v>
      </c>
      <c r="E12" s="31"/>
    </row>
    <row r="13" spans="1:5" x14ac:dyDescent="0.25">
      <c r="A13" s="30">
        <v>6.2</v>
      </c>
      <c r="B13" s="22" t="s">
        <v>86</v>
      </c>
      <c r="C13" s="24" t="s">
        <v>59</v>
      </c>
      <c r="D13" s="25" t="s">
        <v>88</v>
      </c>
      <c r="E13" s="31"/>
    </row>
    <row r="14" spans="1:5" ht="45" x14ac:dyDescent="0.25">
      <c r="A14" s="30">
        <v>6.3</v>
      </c>
      <c r="B14" s="22" t="s">
        <v>87</v>
      </c>
      <c r="C14" s="24" t="s">
        <v>59</v>
      </c>
      <c r="D14" s="25" t="s">
        <v>90</v>
      </c>
      <c r="E14" s="31"/>
    </row>
    <row r="15" spans="1:5" x14ac:dyDescent="0.25">
      <c r="A15" s="30">
        <v>7.1</v>
      </c>
      <c r="B15" s="22" t="s">
        <v>91</v>
      </c>
      <c r="C15" s="24" t="s">
        <v>59</v>
      </c>
      <c r="D15" s="25" t="s">
        <v>95</v>
      </c>
      <c r="E15" s="31"/>
    </row>
    <row r="16" spans="1:5" x14ac:dyDescent="0.25">
      <c r="A16" s="30">
        <v>7.2</v>
      </c>
      <c r="B16" s="22" t="s">
        <v>92</v>
      </c>
      <c r="C16" s="24" t="s">
        <v>59</v>
      </c>
      <c r="D16" s="25" t="s">
        <v>96</v>
      </c>
      <c r="E16" s="31"/>
    </row>
    <row r="17" spans="1:5" ht="30" x14ac:dyDescent="0.25">
      <c r="A17" s="30">
        <v>7.3</v>
      </c>
      <c r="B17" s="22" t="s">
        <v>93</v>
      </c>
      <c r="C17" s="24" t="s">
        <v>59</v>
      </c>
      <c r="D17" s="25" t="s">
        <v>97</v>
      </c>
      <c r="E17" s="31"/>
    </row>
    <row r="18" spans="1:5" ht="30" x14ac:dyDescent="0.25">
      <c r="A18" s="30">
        <v>8.1</v>
      </c>
      <c r="B18" s="22" t="s">
        <v>98</v>
      </c>
      <c r="C18" s="24" t="s">
        <v>59</v>
      </c>
      <c r="D18" s="25" t="s">
        <v>101</v>
      </c>
      <c r="E18" s="31"/>
    </row>
    <row r="19" spans="1:5" x14ac:dyDescent="0.25">
      <c r="A19" s="30">
        <v>8.1999999999999993</v>
      </c>
      <c r="B19" s="22" t="s">
        <v>99</v>
      </c>
      <c r="C19" s="24" t="s">
        <v>59</v>
      </c>
      <c r="D19" s="25" t="s">
        <v>102</v>
      </c>
      <c r="E19" s="31"/>
    </row>
    <row r="20" spans="1:5" x14ac:dyDescent="0.25">
      <c r="A20" s="30">
        <v>8.3000000000000007</v>
      </c>
      <c r="B20" s="22" t="s">
        <v>100</v>
      </c>
      <c r="C20" s="24" t="s">
        <v>59</v>
      </c>
      <c r="D20" s="25" t="s">
        <v>121</v>
      </c>
      <c r="E20" s="31"/>
    </row>
    <row r="21" spans="1:5" ht="30" x14ac:dyDescent="0.25">
      <c r="A21" s="30">
        <v>9.1</v>
      </c>
      <c r="B21" s="22" t="s">
        <v>105</v>
      </c>
      <c r="C21" s="24" t="s">
        <v>104</v>
      </c>
      <c r="D21" s="25" t="s">
        <v>103</v>
      </c>
      <c r="E21" s="31"/>
    </row>
    <row r="22" spans="1:5" ht="30" x14ac:dyDescent="0.25">
      <c r="A22" s="30">
        <v>10.1</v>
      </c>
      <c r="B22" s="22" t="s">
        <v>106</v>
      </c>
      <c r="C22" s="24" t="s">
        <v>107</v>
      </c>
      <c r="D22" s="25" t="s">
        <v>108</v>
      </c>
      <c r="E22" s="31"/>
    </row>
    <row r="23" spans="1:5" ht="30" x14ac:dyDescent="0.25">
      <c r="A23" s="30">
        <v>13</v>
      </c>
      <c r="B23" s="22" t="s">
        <v>116</v>
      </c>
      <c r="C23" s="24"/>
      <c r="D23" s="25"/>
      <c r="E23" s="31"/>
    </row>
    <row r="24" spans="1:5" ht="30" x14ac:dyDescent="0.25">
      <c r="A24" s="30">
        <v>13.1</v>
      </c>
      <c r="B24" s="23"/>
      <c r="C24" s="24"/>
      <c r="D24" s="25" t="s">
        <v>117</v>
      </c>
      <c r="E24" s="32"/>
    </row>
    <row r="25" spans="1:5" ht="45" x14ac:dyDescent="0.25">
      <c r="A25" s="30">
        <v>13.2</v>
      </c>
      <c r="B25" s="23"/>
      <c r="C25" s="24"/>
      <c r="D25" s="25" t="s">
        <v>118</v>
      </c>
      <c r="E25" s="32"/>
    </row>
    <row r="26" spans="1:5" ht="45" x14ac:dyDescent="0.25">
      <c r="A26" s="33">
        <v>13.3</v>
      </c>
      <c r="B26" s="34"/>
      <c r="C26" s="35"/>
      <c r="D26" s="36" t="s">
        <v>119</v>
      </c>
      <c r="E26" s="3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A40B4-D5D2-47D6-889F-6306D682C50E}">
  <dimension ref="A1:T154"/>
  <sheetViews>
    <sheetView zoomScale="115" zoomScaleNormal="115" workbookViewId="0">
      <selection activeCell="B79" sqref="A1:M121"/>
    </sheetView>
  </sheetViews>
  <sheetFormatPr baseColWidth="10" defaultColWidth="9.140625" defaultRowHeight="15" x14ac:dyDescent="0.25"/>
  <cols>
    <col min="2" max="2" width="21.42578125" customWidth="1"/>
    <col min="3" max="3" width="17.85546875" customWidth="1"/>
    <col min="4" max="5" width="15.140625" customWidth="1"/>
    <col min="7" max="7" width="11.5703125" customWidth="1"/>
    <col min="8" max="8" width="15" customWidth="1"/>
    <col min="9" max="9" width="14.5703125" customWidth="1"/>
    <col min="10" max="10" width="14.42578125" customWidth="1"/>
    <col min="11" max="11" width="13.85546875" customWidth="1"/>
    <col min="12" max="12" width="9.140625" customWidth="1"/>
    <col min="13" max="13" width="13.28515625" customWidth="1"/>
    <col min="15" max="15" width="23.85546875" customWidth="1"/>
    <col min="16" max="16" width="16.5703125" customWidth="1"/>
    <col min="18" max="18" width="21.42578125" customWidth="1"/>
    <col min="19" max="19" width="17.28515625" customWidth="1"/>
    <col min="20" max="20" width="14" customWidth="1"/>
  </cols>
  <sheetData>
    <row r="1" spans="1:20" x14ac:dyDescent="0.25">
      <c r="A1" s="1" t="s">
        <v>0</v>
      </c>
      <c r="B1" s="1" t="s">
        <v>1</v>
      </c>
      <c r="C1" s="1" t="s">
        <v>58</v>
      </c>
      <c r="D1" s="1" t="s">
        <v>61</v>
      </c>
      <c r="E1" s="1" t="s">
        <v>4</v>
      </c>
      <c r="F1" s="1" t="s">
        <v>5</v>
      </c>
      <c r="G1" s="1" t="s">
        <v>6</v>
      </c>
      <c r="H1" s="1" t="s">
        <v>60</v>
      </c>
      <c r="I1" s="1" t="s">
        <v>8</v>
      </c>
      <c r="J1" s="1" t="s">
        <v>74</v>
      </c>
      <c r="K1" s="1" t="s">
        <v>10</v>
      </c>
      <c r="L1" s="4" t="s">
        <v>67</v>
      </c>
      <c r="M1" s="4" t="s">
        <v>68</v>
      </c>
      <c r="P1" s="3"/>
      <c r="R1" s="3"/>
      <c r="T1" s="3"/>
    </row>
    <row r="2" spans="1:20" x14ac:dyDescent="0.25">
      <c r="A2">
        <v>1045</v>
      </c>
      <c r="B2" s="2">
        <v>46051</v>
      </c>
      <c r="C2" t="s">
        <v>11</v>
      </c>
      <c r="D2" t="s">
        <v>26</v>
      </c>
      <c r="E2" t="s">
        <v>32</v>
      </c>
      <c r="F2">
        <v>2</v>
      </c>
      <c r="G2">
        <v>1400</v>
      </c>
      <c r="H2" t="s">
        <v>35</v>
      </c>
      <c r="I2" t="s">
        <v>41</v>
      </c>
      <c r="J2" t="s">
        <v>46</v>
      </c>
      <c r="K2">
        <v>2800</v>
      </c>
      <c r="L2">
        <f>MONTH(B2)</f>
        <v>1</v>
      </c>
      <c r="M2" t="str" cm="1">
        <f t="array" ref="M2">_xlfn.IFS(K2&lt;$S$2,"Low",K2&gt;=$S$3,"High",TRUE,"Medium")</f>
        <v>Medium</v>
      </c>
      <c r="O2" s="7" t="s">
        <v>69</v>
      </c>
      <c r="P2" s="5">
        <f>SUM(K2:K121)</f>
        <v>729700</v>
      </c>
      <c r="R2" s="10"/>
      <c r="S2">
        <v>2000</v>
      </c>
    </row>
    <row r="3" spans="1:20" x14ac:dyDescent="0.25">
      <c r="A3">
        <v>1048</v>
      </c>
      <c r="B3" s="2">
        <v>46074</v>
      </c>
      <c r="C3" t="s">
        <v>12</v>
      </c>
      <c r="D3" t="s">
        <v>27</v>
      </c>
      <c r="E3" t="s">
        <v>32</v>
      </c>
      <c r="F3">
        <v>1</v>
      </c>
      <c r="G3">
        <v>900</v>
      </c>
      <c r="H3" t="s">
        <v>36</v>
      </c>
      <c r="I3" t="s">
        <v>42</v>
      </c>
      <c r="J3" t="s">
        <v>46</v>
      </c>
      <c r="K3">
        <v>900</v>
      </c>
      <c r="L3">
        <f t="shared" ref="L3:L66" si="0">MONTH(B3)</f>
        <v>2</v>
      </c>
      <c r="M3" t="str" cm="1">
        <f t="array" ref="M3">_xlfn.IFS(K3&lt;$S$2,"Low",K3&gt;=$S$3,"High",TRUE,"Medium")</f>
        <v>Low</v>
      </c>
      <c r="O3" s="7" t="s">
        <v>110</v>
      </c>
      <c r="P3" s="6">
        <f>AVERAGE(K2:K121)</f>
        <v>6080.833333333333</v>
      </c>
      <c r="S3">
        <v>10000</v>
      </c>
    </row>
    <row r="4" spans="1:20" x14ac:dyDescent="0.25">
      <c r="A4">
        <v>1005</v>
      </c>
      <c r="B4" s="2">
        <v>46106</v>
      </c>
      <c r="C4" t="s">
        <v>13</v>
      </c>
      <c r="D4" t="s">
        <v>28</v>
      </c>
      <c r="E4" t="s">
        <v>33</v>
      </c>
      <c r="F4">
        <v>2</v>
      </c>
      <c r="G4">
        <v>5500</v>
      </c>
      <c r="H4" t="s">
        <v>35</v>
      </c>
      <c r="I4" t="s">
        <v>42</v>
      </c>
      <c r="J4" t="s">
        <v>47</v>
      </c>
      <c r="K4">
        <v>11000</v>
      </c>
      <c r="L4">
        <f t="shared" si="0"/>
        <v>3</v>
      </c>
      <c r="M4" t="str" cm="1">
        <f t="array" ref="M4">_xlfn.IFS(K4&lt;$S$2,"Low",K4&gt;=$S$3,"High",TRUE,"Medium")</f>
        <v>High</v>
      </c>
    </row>
    <row r="5" spans="1:20" x14ac:dyDescent="0.25">
      <c r="A5">
        <v>1056</v>
      </c>
      <c r="B5" s="2">
        <v>46058</v>
      </c>
      <c r="C5" t="s">
        <v>14</v>
      </c>
      <c r="D5" t="s">
        <v>29</v>
      </c>
      <c r="E5" t="s">
        <v>33</v>
      </c>
      <c r="F5">
        <v>1</v>
      </c>
      <c r="G5">
        <v>5500</v>
      </c>
      <c r="H5" t="s">
        <v>36</v>
      </c>
      <c r="I5" t="s">
        <v>41</v>
      </c>
      <c r="J5" t="s">
        <v>46</v>
      </c>
      <c r="K5">
        <v>5500</v>
      </c>
      <c r="L5">
        <f t="shared" si="0"/>
        <v>2</v>
      </c>
      <c r="M5" t="str" cm="1">
        <f t="array" ref="M5">_xlfn.IFS(K5&lt;$S$2,"Low",K5&gt;=$S$3,"High",TRUE,"Medium")</f>
        <v>Medium</v>
      </c>
      <c r="O5" s="42" t="s">
        <v>123</v>
      </c>
      <c r="P5" s="43"/>
    </row>
    <row r="6" spans="1:20" x14ac:dyDescent="0.25">
      <c r="A6">
        <v>1027</v>
      </c>
      <c r="B6" s="2">
        <v>46103</v>
      </c>
      <c r="C6" t="s">
        <v>15</v>
      </c>
      <c r="D6" t="s">
        <v>27</v>
      </c>
      <c r="E6" t="s">
        <v>32</v>
      </c>
      <c r="F6">
        <v>3</v>
      </c>
      <c r="G6">
        <v>900</v>
      </c>
      <c r="H6" t="s">
        <v>36</v>
      </c>
      <c r="I6" t="s">
        <v>42</v>
      </c>
      <c r="J6" t="s">
        <v>46</v>
      </c>
      <c r="K6">
        <v>2700</v>
      </c>
      <c r="L6">
        <f t="shared" si="0"/>
        <v>3</v>
      </c>
      <c r="M6" t="str" cm="1">
        <f t="array" ref="M6">_xlfn.IFS(K6&lt;$S$2,"Low",K6&gt;=$S$3,"High",TRUE,"Medium")</f>
        <v>Medium</v>
      </c>
      <c r="O6" s="44" t="str">
        <f>_xlfn.XLOOKUP(MAX(Sales_Pivot!D8:D10),Sales_Pivot!D8:D10,Sales_Pivot!B8:B10) &amp; " (7 units)"</f>
        <v>Sofía (7 units)</v>
      </c>
      <c r="P6" s="45"/>
    </row>
    <row r="7" spans="1:20" x14ac:dyDescent="0.25">
      <c r="A7">
        <v>1065</v>
      </c>
      <c r="B7" s="2">
        <v>46032</v>
      </c>
      <c r="C7" t="s">
        <v>16</v>
      </c>
      <c r="D7" t="s">
        <v>29</v>
      </c>
      <c r="E7" t="s">
        <v>32</v>
      </c>
      <c r="F7">
        <v>2</v>
      </c>
      <c r="G7">
        <v>500</v>
      </c>
      <c r="H7" t="s">
        <v>37</v>
      </c>
      <c r="I7" t="s">
        <v>42</v>
      </c>
      <c r="J7" t="s">
        <v>47</v>
      </c>
      <c r="K7">
        <v>1000</v>
      </c>
      <c r="L7">
        <f t="shared" si="0"/>
        <v>1</v>
      </c>
      <c r="M7" t="str" cm="1">
        <f t="array" ref="M7">_xlfn.IFS(K7&lt;$S$2,"Low",K7&gt;=$S$3,"High",TRUE,"Medium")</f>
        <v>Low</v>
      </c>
    </row>
    <row r="8" spans="1:20" x14ac:dyDescent="0.25">
      <c r="A8">
        <v>1074</v>
      </c>
      <c r="B8" s="2">
        <v>46049</v>
      </c>
      <c r="C8" t="s">
        <v>17</v>
      </c>
      <c r="D8" t="s">
        <v>30</v>
      </c>
      <c r="E8" t="s">
        <v>32</v>
      </c>
      <c r="F8">
        <v>2</v>
      </c>
      <c r="G8">
        <v>1200</v>
      </c>
      <c r="H8" t="s">
        <v>37</v>
      </c>
      <c r="I8" t="s">
        <v>41</v>
      </c>
      <c r="J8" t="s">
        <v>46</v>
      </c>
      <c r="K8">
        <v>2400</v>
      </c>
      <c r="L8">
        <f t="shared" si="0"/>
        <v>1</v>
      </c>
      <c r="M8" t="str" cm="1">
        <f t="array" ref="M8">_xlfn.IFS(K8&lt;$S$2,"Low",K8&gt;=$S$3,"High",TRUE,"Medium")</f>
        <v>Medium</v>
      </c>
    </row>
    <row r="9" spans="1:20" x14ac:dyDescent="0.25">
      <c r="A9">
        <v>1011</v>
      </c>
      <c r="B9" s="2">
        <v>46060</v>
      </c>
      <c r="C9" t="s">
        <v>17</v>
      </c>
      <c r="D9" t="s">
        <v>28</v>
      </c>
      <c r="E9" t="s">
        <v>33</v>
      </c>
      <c r="F9">
        <v>1</v>
      </c>
      <c r="G9">
        <v>5500</v>
      </c>
      <c r="H9" t="s">
        <v>37</v>
      </c>
      <c r="I9" t="s">
        <v>43</v>
      </c>
      <c r="J9" t="s">
        <v>47</v>
      </c>
      <c r="K9">
        <v>5500</v>
      </c>
      <c r="L9">
        <f t="shared" si="0"/>
        <v>2</v>
      </c>
      <c r="M9" t="str" cm="1">
        <f t="array" ref="M9">_xlfn.IFS(K9&lt;$S$2,"Low",K9&gt;=$S$3,"High",TRUE,"Medium")</f>
        <v>Medium</v>
      </c>
    </row>
    <row r="10" spans="1:20" x14ac:dyDescent="0.25">
      <c r="A10">
        <v>1041</v>
      </c>
      <c r="B10" s="2">
        <v>46028</v>
      </c>
      <c r="C10" t="s">
        <v>18</v>
      </c>
      <c r="D10" t="s">
        <v>31</v>
      </c>
      <c r="E10" t="s">
        <v>33</v>
      </c>
      <c r="F10">
        <v>2</v>
      </c>
      <c r="G10">
        <v>15000</v>
      </c>
      <c r="H10" t="s">
        <v>35</v>
      </c>
      <c r="I10" t="s">
        <v>41</v>
      </c>
      <c r="J10" t="s">
        <v>47</v>
      </c>
      <c r="K10">
        <v>30000</v>
      </c>
      <c r="L10">
        <f t="shared" si="0"/>
        <v>1</v>
      </c>
      <c r="M10" t="str" cm="1">
        <f t="array" ref="M10">_xlfn.IFS(K10&lt;$S$2,"Low",K10&gt;=$S$3,"High",TRUE,"Medium")</f>
        <v>High</v>
      </c>
    </row>
    <row r="11" spans="1:20" x14ac:dyDescent="0.25">
      <c r="A11">
        <v>1108</v>
      </c>
      <c r="B11" s="2">
        <v>46076</v>
      </c>
      <c r="C11" t="s">
        <v>12</v>
      </c>
      <c r="D11" t="s">
        <v>28</v>
      </c>
      <c r="E11" t="s">
        <v>33</v>
      </c>
      <c r="F11">
        <v>1</v>
      </c>
      <c r="G11">
        <v>5500</v>
      </c>
      <c r="H11" t="s">
        <v>35</v>
      </c>
      <c r="I11" t="s">
        <v>44</v>
      </c>
      <c r="J11" t="s">
        <v>47</v>
      </c>
      <c r="K11">
        <v>5500</v>
      </c>
      <c r="L11">
        <f t="shared" si="0"/>
        <v>2</v>
      </c>
      <c r="M11" t="str" cm="1">
        <f t="array" ref="M11">_xlfn.IFS(K11&lt;$S$2,"Low",K11&gt;=$S$3,"High",TRUE,"Medium")</f>
        <v>Medium</v>
      </c>
    </row>
    <row r="12" spans="1:20" x14ac:dyDescent="0.25">
      <c r="A12">
        <v>1019</v>
      </c>
      <c r="B12" s="2">
        <v>46112</v>
      </c>
      <c r="C12" t="s">
        <v>11</v>
      </c>
      <c r="D12" t="s">
        <v>30</v>
      </c>
      <c r="E12" t="s">
        <v>32</v>
      </c>
      <c r="F12">
        <v>1</v>
      </c>
      <c r="G12">
        <v>1200</v>
      </c>
      <c r="H12" t="s">
        <v>36</v>
      </c>
      <c r="I12" t="s">
        <v>44</v>
      </c>
      <c r="J12" t="s">
        <v>47</v>
      </c>
      <c r="K12">
        <v>1200</v>
      </c>
      <c r="L12">
        <f t="shared" si="0"/>
        <v>3</v>
      </c>
      <c r="M12" t="str" cm="1">
        <f t="array" ref="M12">_xlfn.IFS(K12&lt;$S$2,"Low",K12&gt;=$S$3,"High",TRUE,"Medium")</f>
        <v>Low</v>
      </c>
    </row>
    <row r="13" spans="1:20" x14ac:dyDescent="0.25">
      <c r="A13">
        <v>1063</v>
      </c>
      <c r="B13" s="2">
        <v>46068</v>
      </c>
      <c r="C13" t="s">
        <v>14</v>
      </c>
      <c r="D13" t="s">
        <v>26</v>
      </c>
      <c r="E13" t="s">
        <v>32</v>
      </c>
      <c r="F13">
        <v>1</v>
      </c>
      <c r="G13">
        <v>1400</v>
      </c>
      <c r="H13" t="s">
        <v>36</v>
      </c>
      <c r="I13" t="s">
        <v>41</v>
      </c>
      <c r="J13" t="s">
        <v>47</v>
      </c>
      <c r="K13">
        <v>1400</v>
      </c>
      <c r="L13">
        <f t="shared" si="0"/>
        <v>2</v>
      </c>
      <c r="M13" t="str" cm="1">
        <f t="array" ref="M13">_xlfn.IFS(K13&lt;$S$2,"Low",K13&gt;=$S$3,"High",TRUE,"Medium")</f>
        <v>Low</v>
      </c>
    </row>
    <row r="14" spans="1:20" x14ac:dyDescent="0.25">
      <c r="A14">
        <v>1012</v>
      </c>
      <c r="B14" s="2">
        <v>46088</v>
      </c>
      <c r="C14" t="s">
        <v>20</v>
      </c>
      <c r="D14" t="s">
        <v>26</v>
      </c>
      <c r="E14" t="s">
        <v>32</v>
      </c>
      <c r="F14">
        <v>3</v>
      </c>
      <c r="G14">
        <v>1400</v>
      </c>
      <c r="H14" t="s">
        <v>38</v>
      </c>
      <c r="I14" t="s">
        <v>43</v>
      </c>
      <c r="J14" t="s">
        <v>47</v>
      </c>
      <c r="K14">
        <v>4200</v>
      </c>
      <c r="L14">
        <f t="shared" si="0"/>
        <v>3</v>
      </c>
      <c r="M14" t="str" cm="1">
        <f t="array" ref="M14">_xlfn.IFS(K14&lt;$S$2,"Low",K14&gt;=$S$3,"High",TRUE,"Medium")</f>
        <v>Medium</v>
      </c>
    </row>
    <row r="15" spans="1:20" x14ac:dyDescent="0.25">
      <c r="A15">
        <v>1037</v>
      </c>
      <c r="B15" s="2">
        <v>46085</v>
      </c>
      <c r="C15" t="s">
        <v>16</v>
      </c>
      <c r="D15" t="s">
        <v>27</v>
      </c>
      <c r="E15" t="s">
        <v>32</v>
      </c>
      <c r="F15">
        <v>2</v>
      </c>
      <c r="G15">
        <v>900</v>
      </c>
      <c r="H15" t="s">
        <v>36</v>
      </c>
      <c r="I15" t="s">
        <v>41</v>
      </c>
      <c r="J15" t="s">
        <v>47</v>
      </c>
      <c r="K15">
        <v>1800</v>
      </c>
      <c r="L15">
        <f t="shared" si="0"/>
        <v>3</v>
      </c>
      <c r="M15" t="str" cm="1">
        <f t="array" ref="M15">_xlfn.IFS(K15&lt;$S$2,"Low",K15&gt;=$S$3,"High",TRUE,"Medium")</f>
        <v>Low</v>
      </c>
    </row>
    <row r="16" spans="1:20" x14ac:dyDescent="0.25">
      <c r="A16">
        <v>1090</v>
      </c>
      <c r="B16" s="2">
        <v>46042</v>
      </c>
      <c r="C16" t="s">
        <v>21</v>
      </c>
      <c r="D16" t="s">
        <v>26</v>
      </c>
      <c r="E16" t="s">
        <v>32</v>
      </c>
      <c r="F16">
        <v>2</v>
      </c>
      <c r="G16">
        <v>1400</v>
      </c>
      <c r="H16" t="s">
        <v>38</v>
      </c>
      <c r="I16" t="s">
        <v>42</v>
      </c>
      <c r="J16" t="s">
        <v>46</v>
      </c>
      <c r="K16">
        <v>2800</v>
      </c>
      <c r="L16">
        <f t="shared" si="0"/>
        <v>1</v>
      </c>
      <c r="M16" t="str" cm="1">
        <f t="array" ref="M16">_xlfn.IFS(K16&lt;$S$2,"Low",K16&gt;=$S$3,"High",TRUE,"Medium")</f>
        <v>Medium</v>
      </c>
    </row>
    <row r="17" spans="1:13" x14ac:dyDescent="0.25">
      <c r="A17">
        <v>1092</v>
      </c>
      <c r="B17" s="2">
        <v>46068</v>
      </c>
      <c r="C17" t="s">
        <v>17</v>
      </c>
      <c r="D17" t="s">
        <v>31</v>
      </c>
      <c r="E17" t="s">
        <v>33</v>
      </c>
      <c r="F17">
        <v>2</v>
      </c>
      <c r="G17">
        <v>15000</v>
      </c>
      <c r="H17" t="s">
        <v>36</v>
      </c>
      <c r="I17" t="s">
        <v>41</v>
      </c>
      <c r="J17" t="s">
        <v>48</v>
      </c>
      <c r="K17">
        <v>30000</v>
      </c>
      <c r="L17">
        <f t="shared" si="0"/>
        <v>2</v>
      </c>
      <c r="M17" t="str" cm="1">
        <f t="array" ref="M17">_xlfn.IFS(K17&lt;$S$2,"Low",K17&gt;=$S$3,"High",TRUE,"Medium")</f>
        <v>High</v>
      </c>
    </row>
    <row r="18" spans="1:13" x14ac:dyDescent="0.25">
      <c r="A18">
        <v>1110</v>
      </c>
      <c r="B18" s="2">
        <v>46055</v>
      </c>
      <c r="C18" t="s">
        <v>13</v>
      </c>
      <c r="D18" t="s">
        <v>30</v>
      </c>
      <c r="E18" t="s">
        <v>32</v>
      </c>
      <c r="F18">
        <v>2</v>
      </c>
      <c r="G18">
        <v>1200</v>
      </c>
      <c r="H18" t="s">
        <v>36</v>
      </c>
      <c r="I18" t="s">
        <v>41</v>
      </c>
      <c r="J18" t="s">
        <v>48</v>
      </c>
      <c r="K18">
        <v>2400</v>
      </c>
      <c r="L18">
        <f t="shared" si="0"/>
        <v>2</v>
      </c>
      <c r="M18" t="str" cm="1">
        <f t="array" ref="M18">_xlfn.IFS(K18&lt;$S$2,"Low",K18&gt;=$S$3,"High",TRUE,"Medium")</f>
        <v>Medium</v>
      </c>
    </row>
    <row r="19" spans="1:13" x14ac:dyDescent="0.25">
      <c r="A19">
        <v>1001</v>
      </c>
      <c r="B19" s="2">
        <v>46098</v>
      </c>
      <c r="C19" t="s">
        <v>21</v>
      </c>
      <c r="D19" t="s">
        <v>29</v>
      </c>
      <c r="E19" t="s">
        <v>32</v>
      </c>
      <c r="F19">
        <v>2</v>
      </c>
      <c r="G19">
        <v>500</v>
      </c>
      <c r="H19" t="s">
        <v>36</v>
      </c>
      <c r="I19" t="s">
        <v>41</v>
      </c>
      <c r="J19" t="s">
        <v>46</v>
      </c>
      <c r="K19">
        <v>1000</v>
      </c>
      <c r="L19">
        <f t="shared" si="0"/>
        <v>3</v>
      </c>
      <c r="M19" t="str" cm="1">
        <f t="array" ref="M19">_xlfn.IFS(K19&lt;$S$2,"Low",K19&gt;=$S$3,"High",TRUE,"Medium")</f>
        <v>Low</v>
      </c>
    </row>
    <row r="20" spans="1:13" x14ac:dyDescent="0.25">
      <c r="A20">
        <v>1089</v>
      </c>
      <c r="B20" s="2">
        <v>46102</v>
      </c>
      <c r="C20" t="s">
        <v>13</v>
      </c>
      <c r="D20" t="s">
        <v>30</v>
      </c>
      <c r="E20" t="s">
        <v>32</v>
      </c>
      <c r="F20">
        <v>1</v>
      </c>
      <c r="G20">
        <v>1200</v>
      </c>
      <c r="H20" t="s">
        <v>36</v>
      </c>
      <c r="I20" t="s">
        <v>43</v>
      </c>
      <c r="J20" t="s">
        <v>46</v>
      </c>
      <c r="K20">
        <v>1200</v>
      </c>
      <c r="L20">
        <f t="shared" si="0"/>
        <v>3</v>
      </c>
      <c r="M20" t="str" cm="1">
        <f t="array" ref="M20">_xlfn.IFS(K20&lt;$S$2,"Low",K20&gt;=$S$3,"High",TRUE,"Medium")</f>
        <v>Low</v>
      </c>
    </row>
    <row r="21" spans="1:13" x14ac:dyDescent="0.25">
      <c r="A21">
        <v>1105</v>
      </c>
      <c r="B21" s="2">
        <v>46075</v>
      </c>
      <c r="C21" t="s">
        <v>18</v>
      </c>
      <c r="D21" t="s">
        <v>31</v>
      </c>
      <c r="E21" t="s">
        <v>33</v>
      </c>
      <c r="F21">
        <v>1</v>
      </c>
      <c r="G21">
        <v>15000</v>
      </c>
      <c r="H21" t="s">
        <v>38</v>
      </c>
      <c r="I21" t="s">
        <v>41</v>
      </c>
      <c r="J21" t="s">
        <v>46</v>
      </c>
      <c r="K21">
        <v>15000</v>
      </c>
      <c r="L21">
        <f t="shared" si="0"/>
        <v>2</v>
      </c>
      <c r="M21" t="str" cm="1">
        <f t="array" ref="M21">_xlfn.IFS(K21&lt;$S$2,"Low",K21&gt;=$S$3,"High",TRUE,"Medium")</f>
        <v>High</v>
      </c>
    </row>
    <row r="22" spans="1:13" x14ac:dyDescent="0.25">
      <c r="A22">
        <v>1066</v>
      </c>
      <c r="B22" s="2">
        <v>46056</v>
      </c>
      <c r="C22" t="s">
        <v>13</v>
      </c>
      <c r="D22" t="s">
        <v>27</v>
      </c>
      <c r="E22" t="s">
        <v>32</v>
      </c>
      <c r="F22">
        <v>2</v>
      </c>
      <c r="G22">
        <v>900</v>
      </c>
      <c r="H22" t="s">
        <v>38</v>
      </c>
      <c r="I22" t="s">
        <v>43</v>
      </c>
      <c r="J22" t="s">
        <v>48</v>
      </c>
      <c r="K22">
        <v>1800</v>
      </c>
      <c r="L22">
        <f t="shared" si="0"/>
        <v>2</v>
      </c>
      <c r="M22" t="str" cm="1">
        <f t="array" ref="M22">_xlfn.IFS(K22&lt;$S$2,"Low",K22&gt;=$S$3,"High",TRUE,"Medium")</f>
        <v>Low</v>
      </c>
    </row>
    <row r="23" spans="1:13" x14ac:dyDescent="0.25">
      <c r="A23">
        <v>1046</v>
      </c>
      <c r="B23" s="2">
        <v>46106</v>
      </c>
      <c r="C23" t="s">
        <v>15</v>
      </c>
      <c r="D23" t="s">
        <v>28</v>
      </c>
      <c r="E23" t="s">
        <v>33</v>
      </c>
      <c r="F23">
        <v>1</v>
      </c>
      <c r="G23">
        <v>5500</v>
      </c>
      <c r="H23" t="s">
        <v>35</v>
      </c>
      <c r="I23" t="s">
        <v>44</v>
      </c>
      <c r="J23" t="s">
        <v>46</v>
      </c>
      <c r="K23">
        <v>5500</v>
      </c>
      <c r="L23">
        <f t="shared" si="0"/>
        <v>3</v>
      </c>
      <c r="M23" t="str" cm="1">
        <f t="array" ref="M23">_xlfn.IFS(K23&lt;$S$2,"Low",K23&gt;=$S$3,"High",TRUE,"Medium")</f>
        <v>Medium</v>
      </c>
    </row>
    <row r="24" spans="1:13" x14ac:dyDescent="0.25">
      <c r="A24">
        <v>1032</v>
      </c>
      <c r="B24" s="2">
        <v>46080</v>
      </c>
      <c r="C24" t="s">
        <v>23</v>
      </c>
      <c r="D24" t="s">
        <v>28</v>
      </c>
      <c r="E24" t="s">
        <v>33</v>
      </c>
      <c r="F24">
        <v>1</v>
      </c>
      <c r="G24">
        <v>5500</v>
      </c>
      <c r="H24" t="s">
        <v>37</v>
      </c>
      <c r="I24" t="s">
        <v>43</v>
      </c>
      <c r="J24" t="s">
        <v>47</v>
      </c>
      <c r="K24">
        <v>5500</v>
      </c>
      <c r="L24">
        <f t="shared" si="0"/>
        <v>2</v>
      </c>
      <c r="M24" t="str" cm="1">
        <f t="array" ref="M24">_xlfn.IFS(K24&lt;$S$2,"Low",K24&gt;=$S$3,"High",TRUE,"Medium")</f>
        <v>Medium</v>
      </c>
    </row>
    <row r="25" spans="1:13" x14ac:dyDescent="0.25">
      <c r="A25">
        <v>1071</v>
      </c>
      <c r="B25" s="2">
        <v>46042</v>
      </c>
      <c r="C25" t="s">
        <v>13</v>
      </c>
      <c r="D25" t="s">
        <v>27</v>
      </c>
      <c r="E25" t="s">
        <v>32</v>
      </c>
      <c r="F25">
        <v>2</v>
      </c>
      <c r="G25">
        <v>900</v>
      </c>
      <c r="H25" t="s">
        <v>38</v>
      </c>
      <c r="I25" t="s">
        <v>41</v>
      </c>
      <c r="J25" t="s">
        <v>46</v>
      </c>
      <c r="K25">
        <v>1800</v>
      </c>
      <c r="L25">
        <f t="shared" si="0"/>
        <v>1</v>
      </c>
      <c r="M25" t="str" cm="1">
        <f t="array" ref="M25">_xlfn.IFS(K25&lt;$S$2,"Low",K25&gt;=$S$3,"High",TRUE,"Medium")</f>
        <v>Low</v>
      </c>
    </row>
    <row r="26" spans="1:13" x14ac:dyDescent="0.25">
      <c r="A26">
        <v>1043</v>
      </c>
      <c r="B26" s="2">
        <v>46074</v>
      </c>
      <c r="C26" t="s">
        <v>13</v>
      </c>
      <c r="D26" t="s">
        <v>31</v>
      </c>
      <c r="E26" t="s">
        <v>33</v>
      </c>
      <c r="F26">
        <v>1</v>
      </c>
      <c r="G26">
        <v>15000</v>
      </c>
      <c r="H26" t="s">
        <v>35</v>
      </c>
      <c r="I26" t="s">
        <v>43</v>
      </c>
      <c r="J26" t="s">
        <v>46</v>
      </c>
      <c r="K26">
        <v>15000</v>
      </c>
      <c r="L26">
        <f t="shared" si="0"/>
        <v>2</v>
      </c>
      <c r="M26" t="str" cm="1">
        <f t="array" ref="M26">_xlfn.IFS(K26&lt;$S$2,"Low",K26&gt;=$S$3,"High",TRUE,"Medium")</f>
        <v>High</v>
      </c>
    </row>
    <row r="27" spans="1:13" x14ac:dyDescent="0.25">
      <c r="A27">
        <v>1013</v>
      </c>
      <c r="B27" s="2">
        <v>46050</v>
      </c>
      <c r="C27" t="s">
        <v>17</v>
      </c>
      <c r="D27" t="s">
        <v>30</v>
      </c>
      <c r="E27" t="s">
        <v>32</v>
      </c>
      <c r="F27">
        <v>1</v>
      </c>
      <c r="G27">
        <v>1200</v>
      </c>
      <c r="H27" t="s">
        <v>38</v>
      </c>
      <c r="I27" t="s">
        <v>43</v>
      </c>
      <c r="J27" t="s">
        <v>48</v>
      </c>
      <c r="K27">
        <v>1200</v>
      </c>
      <c r="L27">
        <f t="shared" si="0"/>
        <v>1</v>
      </c>
      <c r="M27" t="str" cm="1">
        <f t="array" ref="M27">_xlfn.IFS(K27&lt;$S$2,"Low",K27&gt;=$S$3,"High",TRUE,"Medium")</f>
        <v>Low</v>
      </c>
    </row>
    <row r="28" spans="1:13" x14ac:dyDescent="0.25">
      <c r="A28">
        <v>1016</v>
      </c>
      <c r="B28" s="2">
        <v>46061</v>
      </c>
      <c r="C28" t="s">
        <v>18</v>
      </c>
      <c r="D28" t="s">
        <v>27</v>
      </c>
      <c r="E28" t="s">
        <v>32</v>
      </c>
      <c r="F28">
        <v>1</v>
      </c>
      <c r="G28">
        <v>900</v>
      </c>
      <c r="H28" t="s">
        <v>36</v>
      </c>
      <c r="I28" t="s">
        <v>44</v>
      </c>
      <c r="J28" t="s">
        <v>46</v>
      </c>
      <c r="K28">
        <v>900</v>
      </c>
      <c r="L28">
        <f t="shared" si="0"/>
        <v>2</v>
      </c>
      <c r="M28" t="str" cm="1">
        <f t="array" ref="M28">_xlfn.IFS(K28&lt;$S$2,"Low",K28&gt;=$S$3,"High",TRUE,"Medium")</f>
        <v>Low</v>
      </c>
    </row>
    <row r="29" spans="1:13" x14ac:dyDescent="0.25">
      <c r="A29">
        <v>1115</v>
      </c>
      <c r="B29" s="2">
        <v>46027</v>
      </c>
      <c r="C29" t="s">
        <v>21</v>
      </c>
      <c r="D29" t="s">
        <v>28</v>
      </c>
      <c r="E29" t="s">
        <v>33</v>
      </c>
      <c r="F29">
        <v>1</v>
      </c>
      <c r="G29">
        <v>5500</v>
      </c>
      <c r="H29" t="s">
        <v>35</v>
      </c>
      <c r="I29" t="s">
        <v>42</v>
      </c>
      <c r="J29" t="s">
        <v>46</v>
      </c>
      <c r="K29">
        <v>5500</v>
      </c>
      <c r="L29">
        <f t="shared" si="0"/>
        <v>1</v>
      </c>
      <c r="M29" t="str" cm="1">
        <f t="array" ref="M29">_xlfn.IFS(K29&lt;$S$2,"Low",K29&gt;=$S$3,"High",TRUE,"Medium")</f>
        <v>Medium</v>
      </c>
    </row>
    <row r="30" spans="1:13" x14ac:dyDescent="0.25">
      <c r="A30">
        <v>1077</v>
      </c>
      <c r="B30" s="2">
        <v>46058</v>
      </c>
      <c r="C30" t="s">
        <v>24</v>
      </c>
      <c r="D30" t="s">
        <v>28</v>
      </c>
      <c r="E30" t="s">
        <v>33</v>
      </c>
      <c r="F30">
        <v>1</v>
      </c>
      <c r="G30">
        <v>5500</v>
      </c>
      <c r="H30" t="s">
        <v>35</v>
      </c>
      <c r="I30" t="s">
        <v>43</v>
      </c>
      <c r="J30" t="s">
        <v>47</v>
      </c>
      <c r="K30">
        <v>5500</v>
      </c>
      <c r="L30">
        <f t="shared" si="0"/>
        <v>2</v>
      </c>
      <c r="M30" t="str" cm="1">
        <f t="array" ref="M30">_xlfn.IFS(K30&lt;$S$2,"Low",K30&gt;=$S$3,"High",TRUE,"Medium")</f>
        <v>Medium</v>
      </c>
    </row>
    <row r="31" spans="1:13" x14ac:dyDescent="0.25">
      <c r="A31">
        <v>1098</v>
      </c>
      <c r="B31" s="2">
        <v>46057</v>
      </c>
      <c r="C31" t="s">
        <v>13</v>
      </c>
      <c r="D31" t="s">
        <v>29</v>
      </c>
      <c r="E31" t="s">
        <v>32</v>
      </c>
      <c r="F31">
        <v>2</v>
      </c>
      <c r="G31">
        <v>500</v>
      </c>
      <c r="H31" t="s">
        <v>38</v>
      </c>
      <c r="I31" t="s">
        <v>43</v>
      </c>
      <c r="J31" t="s">
        <v>47</v>
      </c>
      <c r="K31">
        <v>1000</v>
      </c>
      <c r="L31">
        <f t="shared" si="0"/>
        <v>2</v>
      </c>
      <c r="M31" t="str" cm="1">
        <f t="array" ref="M31">_xlfn.IFS(K31&lt;$S$2,"Low",K31&gt;=$S$3,"High",TRUE,"Medium")</f>
        <v>Low</v>
      </c>
    </row>
    <row r="32" spans="1:13" x14ac:dyDescent="0.25">
      <c r="A32">
        <v>1025</v>
      </c>
      <c r="B32" s="2">
        <v>46070</v>
      </c>
      <c r="C32" t="s">
        <v>16</v>
      </c>
      <c r="D32" t="s">
        <v>29</v>
      </c>
      <c r="E32" t="s">
        <v>32</v>
      </c>
      <c r="F32">
        <v>2</v>
      </c>
      <c r="G32">
        <v>500</v>
      </c>
      <c r="H32" t="s">
        <v>37</v>
      </c>
      <c r="I32" t="s">
        <v>41</v>
      </c>
      <c r="J32" t="s">
        <v>47</v>
      </c>
      <c r="K32">
        <v>1000</v>
      </c>
      <c r="L32">
        <f t="shared" si="0"/>
        <v>2</v>
      </c>
      <c r="M32" t="str" cm="1">
        <f t="array" ref="M32">_xlfn.IFS(K32&lt;$S$2,"Low",K32&gt;=$S$3,"High",TRUE,"Medium")</f>
        <v>Low</v>
      </c>
    </row>
    <row r="33" spans="1:13" x14ac:dyDescent="0.25">
      <c r="A33">
        <v>1079</v>
      </c>
      <c r="B33" s="2">
        <v>46093</v>
      </c>
      <c r="C33" t="s">
        <v>18</v>
      </c>
      <c r="D33" t="s">
        <v>27</v>
      </c>
      <c r="E33" t="s">
        <v>32</v>
      </c>
      <c r="F33">
        <v>2</v>
      </c>
      <c r="G33">
        <v>900</v>
      </c>
      <c r="H33" t="s">
        <v>38</v>
      </c>
      <c r="I33" t="s">
        <v>43</v>
      </c>
      <c r="J33" t="s">
        <v>47</v>
      </c>
      <c r="K33">
        <v>1800</v>
      </c>
      <c r="L33">
        <f t="shared" si="0"/>
        <v>3</v>
      </c>
      <c r="M33" t="str" cm="1">
        <f t="array" ref="M33">_xlfn.IFS(K33&lt;$S$2,"Low",K33&gt;=$S$3,"High",TRUE,"Medium")</f>
        <v>Low</v>
      </c>
    </row>
    <row r="34" spans="1:13" x14ac:dyDescent="0.25">
      <c r="A34">
        <v>1023</v>
      </c>
      <c r="B34" s="2">
        <v>46062</v>
      </c>
      <c r="C34" t="s">
        <v>23</v>
      </c>
      <c r="D34" t="s">
        <v>30</v>
      </c>
      <c r="E34" t="s">
        <v>32</v>
      </c>
      <c r="F34">
        <v>1</v>
      </c>
      <c r="G34">
        <v>1200</v>
      </c>
      <c r="H34" t="s">
        <v>36</v>
      </c>
      <c r="I34" t="s">
        <v>42</v>
      </c>
      <c r="J34" t="s">
        <v>48</v>
      </c>
      <c r="K34">
        <v>1200</v>
      </c>
      <c r="L34">
        <f t="shared" si="0"/>
        <v>2</v>
      </c>
      <c r="M34" t="str" cm="1">
        <f t="array" ref="M34">_xlfn.IFS(K34&lt;$S$2,"Low",K34&gt;=$S$3,"High",TRUE,"Medium")</f>
        <v>Low</v>
      </c>
    </row>
    <row r="35" spans="1:13" x14ac:dyDescent="0.25">
      <c r="A35">
        <v>1097</v>
      </c>
      <c r="B35" s="2">
        <v>46043</v>
      </c>
      <c r="C35" t="s">
        <v>23</v>
      </c>
      <c r="D35" t="s">
        <v>30</v>
      </c>
      <c r="E35" t="s">
        <v>32</v>
      </c>
      <c r="F35">
        <v>1</v>
      </c>
      <c r="G35">
        <v>1200</v>
      </c>
      <c r="H35" t="s">
        <v>38</v>
      </c>
      <c r="I35" t="s">
        <v>44</v>
      </c>
      <c r="J35" t="s">
        <v>47</v>
      </c>
      <c r="K35">
        <v>1200</v>
      </c>
      <c r="L35">
        <f t="shared" si="0"/>
        <v>1</v>
      </c>
      <c r="M35" t="str" cm="1">
        <f t="array" ref="M35">_xlfn.IFS(K35&lt;$S$2,"Low",K35&gt;=$S$3,"High",TRUE,"Medium")</f>
        <v>Low</v>
      </c>
    </row>
    <row r="36" spans="1:13" x14ac:dyDescent="0.25">
      <c r="A36">
        <v>1057</v>
      </c>
      <c r="B36" s="2">
        <v>46043</v>
      </c>
      <c r="C36" t="s">
        <v>20</v>
      </c>
      <c r="D36" t="s">
        <v>27</v>
      </c>
      <c r="E36" t="s">
        <v>32</v>
      </c>
      <c r="F36">
        <v>1</v>
      </c>
      <c r="G36">
        <v>900</v>
      </c>
      <c r="H36" t="s">
        <v>38</v>
      </c>
      <c r="I36" t="s">
        <v>44</v>
      </c>
      <c r="J36" t="s">
        <v>46</v>
      </c>
      <c r="K36">
        <v>900</v>
      </c>
      <c r="L36">
        <f t="shared" si="0"/>
        <v>1</v>
      </c>
      <c r="M36" t="str" cm="1">
        <f t="array" ref="M36">_xlfn.IFS(K36&lt;$S$2,"Low",K36&gt;=$S$3,"High",TRUE,"Medium")</f>
        <v>Low</v>
      </c>
    </row>
    <row r="37" spans="1:13" x14ac:dyDescent="0.25">
      <c r="A37">
        <v>1111</v>
      </c>
      <c r="B37" s="2">
        <v>46073</v>
      </c>
      <c r="C37" t="s">
        <v>15</v>
      </c>
      <c r="D37" t="s">
        <v>28</v>
      </c>
      <c r="E37" t="s">
        <v>33</v>
      </c>
      <c r="F37">
        <v>1</v>
      </c>
      <c r="G37">
        <v>5500</v>
      </c>
      <c r="H37" t="s">
        <v>37</v>
      </c>
      <c r="I37" t="s">
        <v>41</v>
      </c>
      <c r="J37" t="s">
        <v>48</v>
      </c>
      <c r="K37">
        <v>5500</v>
      </c>
      <c r="L37">
        <f t="shared" si="0"/>
        <v>2</v>
      </c>
      <c r="M37" t="str" cm="1">
        <f t="array" ref="M37">_xlfn.IFS(K37&lt;$S$2,"Low",K37&gt;=$S$3,"High",TRUE,"Medium")</f>
        <v>Medium</v>
      </c>
    </row>
    <row r="38" spans="1:13" x14ac:dyDescent="0.25">
      <c r="A38">
        <v>1031</v>
      </c>
      <c r="B38" s="2">
        <v>46082</v>
      </c>
      <c r="C38" t="s">
        <v>18</v>
      </c>
      <c r="D38" t="s">
        <v>28</v>
      </c>
      <c r="E38" t="s">
        <v>33</v>
      </c>
      <c r="F38">
        <v>1</v>
      </c>
      <c r="G38">
        <v>5500</v>
      </c>
      <c r="H38" t="s">
        <v>36</v>
      </c>
      <c r="I38" t="s">
        <v>44</v>
      </c>
      <c r="J38" t="s">
        <v>46</v>
      </c>
      <c r="K38">
        <v>5500</v>
      </c>
      <c r="L38">
        <f t="shared" si="0"/>
        <v>3</v>
      </c>
      <c r="M38" t="str" cm="1">
        <f t="array" ref="M38">_xlfn.IFS(K38&lt;$S$2,"Low",K38&gt;=$S$3,"High",TRUE,"Medium")</f>
        <v>Medium</v>
      </c>
    </row>
    <row r="39" spans="1:13" x14ac:dyDescent="0.25">
      <c r="A39">
        <v>1054</v>
      </c>
      <c r="B39" s="2">
        <v>46089</v>
      </c>
      <c r="C39" t="s">
        <v>21</v>
      </c>
      <c r="D39" t="s">
        <v>27</v>
      </c>
      <c r="E39" t="s">
        <v>32</v>
      </c>
      <c r="F39">
        <v>2</v>
      </c>
      <c r="G39">
        <v>900</v>
      </c>
      <c r="H39" t="s">
        <v>35</v>
      </c>
      <c r="I39" t="s">
        <v>42</v>
      </c>
      <c r="J39" t="s">
        <v>46</v>
      </c>
      <c r="K39">
        <v>1800</v>
      </c>
      <c r="L39">
        <f t="shared" si="0"/>
        <v>3</v>
      </c>
      <c r="M39" t="str" cm="1">
        <f t="array" ref="M39">_xlfn.IFS(K39&lt;$S$2,"Low",K39&gt;=$S$3,"High",TRUE,"Medium")</f>
        <v>Low</v>
      </c>
    </row>
    <row r="40" spans="1:13" x14ac:dyDescent="0.25">
      <c r="A40">
        <v>1119</v>
      </c>
      <c r="B40" s="2">
        <v>46058</v>
      </c>
      <c r="C40" t="s">
        <v>11</v>
      </c>
      <c r="D40" t="s">
        <v>29</v>
      </c>
      <c r="E40" t="s">
        <v>32</v>
      </c>
      <c r="F40">
        <v>3</v>
      </c>
      <c r="G40">
        <v>500</v>
      </c>
      <c r="H40" t="s">
        <v>35</v>
      </c>
      <c r="I40" t="s">
        <v>42</v>
      </c>
      <c r="J40" t="s">
        <v>46</v>
      </c>
      <c r="K40">
        <v>1500</v>
      </c>
      <c r="L40">
        <f t="shared" si="0"/>
        <v>2</v>
      </c>
      <c r="M40" t="str" cm="1">
        <f t="array" ref="M40">_xlfn.IFS(K40&lt;$S$2,"Low",K40&gt;=$S$3,"High",TRUE,"Medium")</f>
        <v>Low</v>
      </c>
    </row>
    <row r="41" spans="1:13" x14ac:dyDescent="0.25">
      <c r="A41">
        <v>1010</v>
      </c>
      <c r="B41" s="2">
        <v>46030</v>
      </c>
      <c r="C41" t="s">
        <v>14</v>
      </c>
      <c r="D41" t="s">
        <v>29</v>
      </c>
      <c r="E41" t="s">
        <v>32</v>
      </c>
      <c r="F41">
        <v>1</v>
      </c>
      <c r="G41">
        <v>500</v>
      </c>
      <c r="H41" t="s">
        <v>38</v>
      </c>
      <c r="I41" t="s">
        <v>42</v>
      </c>
      <c r="J41" t="s">
        <v>46</v>
      </c>
      <c r="K41">
        <v>500</v>
      </c>
      <c r="L41">
        <f t="shared" si="0"/>
        <v>1</v>
      </c>
      <c r="M41" t="str" cm="1">
        <f t="array" ref="M41">_xlfn.IFS(K41&lt;$S$2,"Low",K41&gt;=$S$3,"High",TRUE,"Medium")</f>
        <v>Low</v>
      </c>
    </row>
    <row r="42" spans="1:13" x14ac:dyDescent="0.25">
      <c r="A42">
        <v>1034</v>
      </c>
      <c r="B42" s="2">
        <v>46082</v>
      </c>
      <c r="C42" t="s">
        <v>24</v>
      </c>
      <c r="D42" t="s">
        <v>26</v>
      </c>
      <c r="E42" t="s">
        <v>32</v>
      </c>
      <c r="F42">
        <v>2</v>
      </c>
      <c r="G42">
        <v>1400</v>
      </c>
      <c r="H42" t="s">
        <v>38</v>
      </c>
      <c r="I42" t="s">
        <v>42</v>
      </c>
      <c r="J42" t="s">
        <v>46</v>
      </c>
      <c r="K42">
        <v>2800</v>
      </c>
      <c r="L42">
        <f t="shared" si="0"/>
        <v>3</v>
      </c>
      <c r="M42" t="str" cm="1">
        <f t="array" ref="M42">_xlfn.IFS(K42&lt;$S$2,"Low",K42&gt;=$S$3,"High",TRUE,"Medium")</f>
        <v>Medium</v>
      </c>
    </row>
    <row r="43" spans="1:13" x14ac:dyDescent="0.25">
      <c r="A43">
        <v>1026</v>
      </c>
      <c r="B43" s="2">
        <v>46088</v>
      </c>
      <c r="C43" t="s">
        <v>18</v>
      </c>
      <c r="D43" t="s">
        <v>27</v>
      </c>
      <c r="E43" t="s">
        <v>32</v>
      </c>
      <c r="F43">
        <v>1</v>
      </c>
      <c r="G43">
        <v>900</v>
      </c>
      <c r="H43" t="s">
        <v>38</v>
      </c>
      <c r="I43" t="s">
        <v>44</v>
      </c>
      <c r="J43" t="s">
        <v>47</v>
      </c>
      <c r="K43">
        <v>900</v>
      </c>
      <c r="L43">
        <f t="shared" si="0"/>
        <v>3</v>
      </c>
      <c r="M43" t="str" cm="1">
        <f t="array" ref="M43">_xlfn.IFS(K43&lt;$S$2,"Low",K43&gt;=$S$3,"High",TRUE,"Medium")</f>
        <v>Low</v>
      </c>
    </row>
    <row r="44" spans="1:13" x14ac:dyDescent="0.25">
      <c r="A44">
        <v>1070</v>
      </c>
      <c r="B44" s="2">
        <v>46090</v>
      </c>
      <c r="C44" t="s">
        <v>21</v>
      </c>
      <c r="D44" t="s">
        <v>30</v>
      </c>
      <c r="E44" t="s">
        <v>32</v>
      </c>
      <c r="F44">
        <v>1</v>
      </c>
      <c r="G44">
        <v>1200</v>
      </c>
      <c r="H44" t="s">
        <v>37</v>
      </c>
      <c r="I44" t="s">
        <v>44</v>
      </c>
      <c r="J44" t="s">
        <v>48</v>
      </c>
      <c r="K44">
        <v>1200</v>
      </c>
      <c r="L44">
        <f t="shared" si="0"/>
        <v>3</v>
      </c>
      <c r="M44" t="str" cm="1">
        <f t="array" ref="M44">_xlfn.IFS(K44&lt;$S$2,"Low",K44&gt;=$S$3,"High",TRUE,"Medium")</f>
        <v>Low</v>
      </c>
    </row>
    <row r="45" spans="1:13" x14ac:dyDescent="0.25">
      <c r="A45">
        <v>1029</v>
      </c>
      <c r="B45" s="2">
        <v>46058</v>
      </c>
      <c r="C45" t="s">
        <v>20</v>
      </c>
      <c r="D45" t="s">
        <v>28</v>
      </c>
      <c r="E45" t="s">
        <v>33</v>
      </c>
      <c r="F45">
        <v>2</v>
      </c>
      <c r="G45">
        <v>5500</v>
      </c>
      <c r="H45" t="s">
        <v>38</v>
      </c>
      <c r="I45" t="s">
        <v>43</v>
      </c>
      <c r="J45" t="s">
        <v>46</v>
      </c>
      <c r="K45">
        <v>11000</v>
      </c>
      <c r="L45">
        <f t="shared" si="0"/>
        <v>2</v>
      </c>
      <c r="M45" t="str" cm="1">
        <f t="array" ref="M45">_xlfn.IFS(K45&lt;$S$2,"Low",K45&gt;=$S$3,"High",TRUE,"Medium")</f>
        <v>High</v>
      </c>
    </row>
    <row r="46" spans="1:13" x14ac:dyDescent="0.25">
      <c r="A46">
        <v>1099</v>
      </c>
      <c r="B46" s="2">
        <v>46045</v>
      </c>
      <c r="C46" t="s">
        <v>23</v>
      </c>
      <c r="D46" t="s">
        <v>26</v>
      </c>
      <c r="E46" t="s">
        <v>32</v>
      </c>
      <c r="F46">
        <v>1</v>
      </c>
      <c r="G46">
        <v>1400</v>
      </c>
      <c r="H46" t="s">
        <v>37</v>
      </c>
      <c r="I46" t="s">
        <v>42</v>
      </c>
      <c r="J46" t="s">
        <v>46</v>
      </c>
      <c r="K46">
        <v>1400</v>
      </c>
      <c r="L46">
        <f t="shared" si="0"/>
        <v>1</v>
      </c>
      <c r="M46" t="str" cm="1">
        <f t="array" ref="M46">_xlfn.IFS(K46&lt;$S$2,"Low",K46&gt;=$S$3,"High",TRUE,"Medium")</f>
        <v>Low</v>
      </c>
    </row>
    <row r="47" spans="1:13" x14ac:dyDescent="0.25">
      <c r="A47">
        <v>1086</v>
      </c>
      <c r="B47" s="2">
        <v>46081</v>
      </c>
      <c r="C47" t="s">
        <v>23</v>
      </c>
      <c r="D47" t="s">
        <v>26</v>
      </c>
      <c r="E47" t="s">
        <v>32</v>
      </c>
      <c r="F47">
        <v>2</v>
      </c>
      <c r="G47">
        <v>1400</v>
      </c>
      <c r="H47" t="s">
        <v>38</v>
      </c>
      <c r="I47" t="s">
        <v>42</v>
      </c>
      <c r="J47" t="s">
        <v>47</v>
      </c>
      <c r="K47">
        <v>2800</v>
      </c>
      <c r="L47">
        <f t="shared" si="0"/>
        <v>2</v>
      </c>
      <c r="M47" t="str" cm="1">
        <f t="array" ref="M47">_xlfn.IFS(K47&lt;$S$2,"Low",K47&gt;=$S$3,"High",TRUE,"Medium")</f>
        <v>Medium</v>
      </c>
    </row>
    <row r="48" spans="1:13" x14ac:dyDescent="0.25">
      <c r="A48">
        <v>1006</v>
      </c>
      <c r="B48" s="2">
        <v>46077</v>
      </c>
      <c r="C48" t="s">
        <v>23</v>
      </c>
      <c r="D48" t="s">
        <v>29</v>
      </c>
      <c r="E48" t="s">
        <v>32</v>
      </c>
      <c r="F48">
        <v>1</v>
      </c>
      <c r="G48">
        <v>500</v>
      </c>
      <c r="H48" t="s">
        <v>38</v>
      </c>
      <c r="I48" t="s">
        <v>44</v>
      </c>
      <c r="J48" t="s">
        <v>46</v>
      </c>
      <c r="K48">
        <v>500</v>
      </c>
      <c r="L48">
        <f t="shared" si="0"/>
        <v>2</v>
      </c>
      <c r="M48" t="str" cm="1">
        <f t="array" ref="M48">_xlfn.IFS(K48&lt;$S$2,"Low",K48&gt;=$S$3,"High",TRUE,"Medium")</f>
        <v>Low</v>
      </c>
    </row>
    <row r="49" spans="1:13" x14ac:dyDescent="0.25">
      <c r="A49">
        <v>1091</v>
      </c>
      <c r="B49" s="2">
        <v>46111</v>
      </c>
      <c r="C49" t="s">
        <v>16</v>
      </c>
      <c r="D49" t="s">
        <v>29</v>
      </c>
      <c r="E49" t="s">
        <v>32</v>
      </c>
      <c r="F49">
        <v>1</v>
      </c>
      <c r="G49">
        <v>500</v>
      </c>
      <c r="H49" t="s">
        <v>38</v>
      </c>
      <c r="I49" t="s">
        <v>42</v>
      </c>
      <c r="J49" t="s">
        <v>47</v>
      </c>
      <c r="K49">
        <v>500</v>
      </c>
      <c r="L49">
        <f t="shared" si="0"/>
        <v>3</v>
      </c>
      <c r="M49" t="str" cm="1">
        <f t="array" ref="M49">_xlfn.IFS(K49&lt;$S$2,"Low",K49&gt;=$S$3,"High",TRUE,"Medium")</f>
        <v>Low</v>
      </c>
    </row>
    <row r="50" spans="1:13" x14ac:dyDescent="0.25">
      <c r="A50">
        <v>1069</v>
      </c>
      <c r="B50" s="2">
        <v>46074</v>
      </c>
      <c r="C50" t="s">
        <v>15</v>
      </c>
      <c r="D50" t="s">
        <v>28</v>
      </c>
      <c r="E50" t="s">
        <v>33</v>
      </c>
      <c r="F50">
        <v>1</v>
      </c>
      <c r="G50">
        <v>5500</v>
      </c>
      <c r="H50" t="s">
        <v>35</v>
      </c>
      <c r="I50" t="s">
        <v>44</v>
      </c>
      <c r="J50" t="s">
        <v>46</v>
      </c>
      <c r="K50">
        <v>5500</v>
      </c>
      <c r="L50">
        <f t="shared" si="0"/>
        <v>2</v>
      </c>
      <c r="M50" t="str" cm="1">
        <f t="array" ref="M50">_xlfn.IFS(K50&lt;$S$2,"Low",K50&gt;=$S$3,"High",TRUE,"Medium")</f>
        <v>Medium</v>
      </c>
    </row>
    <row r="51" spans="1:13" x14ac:dyDescent="0.25">
      <c r="A51">
        <v>1040</v>
      </c>
      <c r="B51" s="2">
        <v>46033</v>
      </c>
      <c r="C51" t="s">
        <v>12</v>
      </c>
      <c r="D51" t="s">
        <v>26</v>
      </c>
      <c r="E51" t="s">
        <v>32</v>
      </c>
      <c r="F51">
        <v>1</v>
      </c>
      <c r="G51">
        <v>1400</v>
      </c>
      <c r="H51" t="s">
        <v>35</v>
      </c>
      <c r="I51" t="s">
        <v>41</v>
      </c>
      <c r="J51" t="s">
        <v>46</v>
      </c>
      <c r="K51">
        <v>1400</v>
      </c>
      <c r="L51">
        <f t="shared" si="0"/>
        <v>1</v>
      </c>
      <c r="M51" t="str" cm="1">
        <f t="array" ref="M51">_xlfn.IFS(K51&lt;$S$2,"Low",K51&gt;=$S$3,"High",TRUE,"Medium")</f>
        <v>Low</v>
      </c>
    </row>
    <row r="52" spans="1:13" x14ac:dyDescent="0.25">
      <c r="A52">
        <v>1050</v>
      </c>
      <c r="B52" s="2">
        <v>46056</v>
      </c>
      <c r="C52" t="s">
        <v>18</v>
      </c>
      <c r="D52" t="s">
        <v>27</v>
      </c>
      <c r="E52" t="s">
        <v>32</v>
      </c>
      <c r="F52">
        <v>1</v>
      </c>
      <c r="G52">
        <v>900</v>
      </c>
      <c r="H52" t="s">
        <v>35</v>
      </c>
      <c r="I52" t="s">
        <v>42</v>
      </c>
      <c r="J52" t="s">
        <v>48</v>
      </c>
      <c r="K52">
        <v>900</v>
      </c>
      <c r="L52">
        <f t="shared" si="0"/>
        <v>2</v>
      </c>
      <c r="M52" t="str" cm="1">
        <f t="array" ref="M52">_xlfn.IFS(K52&lt;$S$2,"Low",K52&gt;=$S$3,"High",TRUE,"Medium")</f>
        <v>Low</v>
      </c>
    </row>
    <row r="53" spans="1:13" x14ac:dyDescent="0.25">
      <c r="A53">
        <v>1036</v>
      </c>
      <c r="B53" s="2">
        <v>46085</v>
      </c>
      <c r="C53" t="s">
        <v>14</v>
      </c>
      <c r="D53" t="s">
        <v>31</v>
      </c>
      <c r="E53" t="s">
        <v>33</v>
      </c>
      <c r="F53">
        <v>1</v>
      </c>
      <c r="G53">
        <v>15000</v>
      </c>
      <c r="H53" t="s">
        <v>35</v>
      </c>
      <c r="I53" t="s">
        <v>44</v>
      </c>
      <c r="J53" t="s">
        <v>47</v>
      </c>
      <c r="K53">
        <v>15000</v>
      </c>
      <c r="L53">
        <f t="shared" si="0"/>
        <v>3</v>
      </c>
      <c r="M53" t="str" cm="1">
        <f t="array" ref="M53">_xlfn.IFS(K53&lt;$S$2,"Low",K53&gt;=$S$3,"High",TRUE,"Medium")</f>
        <v>High</v>
      </c>
    </row>
    <row r="54" spans="1:13" x14ac:dyDescent="0.25">
      <c r="A54">
        <v>1017</v>
      </c>
      <c r="B54" s="2">
        <v>46054</v>
      </c>
      <c r="C54" t="s">
        <v>23</v>
      </c>
      <c r="D54" t="s">
        <v>28</v>
      </c>
      <c r="E54" t="s">
        <v>33</v>
      </c>
      <c r="F54">
        <v>1</v>
      </c>
      <c r="G54">
        <v>5500</v>
      </c>
      <c r="H54" t="s">
        <v>38</v>
      </c>
      <c r="I54" t="s">
        <v>43</v>
      </c>
      <c r="J54" t="s">
        <v>46</v>
      </c>
      <c r="K54">
        <v>5500</v>
      </c>
      <c r="L54">
        <f t="shared" si="0"/>
        <v>2</v>
      </c>
      <c r="M54" t="str" cm="1">
        <f t="array" ref="M54">_xlfn.IFS(K54&lt;$S$2,"Low",K54&gt;=$S$3,"High",TRUE,"Medium")</f>
        <v>Medium</v>
      </c>
    </row>
    <row r="55" spans="1:13" x14ac:dyDescent="0.25">
      <c r="A55">
        <v>1067</v>
      </c>
      <c r="B55" s="2">
        <v>46081</v>
      </c>
      <c r="C55" t="s">
        <v>17</v>
      </c>
      <c r="D55" t="s">
        <v>27</v>
      </c>
      <c r="E55" t="s">
        <v>32</v>
      </c>
      <c r="F55">
        <v>2</v>
      </c>
      <c r="G55">
        <v>900</v>
      </c>
      <c r="H55" t="s">
        <v>38</v>
      </c>
      <c r="I55" t="s">
        <v>41</v>
      </c>
      <c r="J55" t="s">
        <v>46</v>
      </c>
      <c r="K55">
        <v>1800</v>
      </c>
      <c r="L55">
        <f t="shared" si="0"/>
        <v>2</v>
      </c>
      <c r="M55" t="str" cm="1">
        <f t="array" ref="M55">_xlfn.IFS(K55&lt;$S$2,"Low",K55&gt;=$S$3,"High",TRUE,"Medium")</f>
        <v>Low</v>
      </c>
    </row>
    <row r="56" spans="1:13" x14ac:dyDescent="0.25">
      <c r="A56">
        <v>1035</v>
      </c>
      <c r="B56" s="2">
        <v>46096</v>
      </c>
      <c r="C56" t="s">
        <v>14</v>
      </c>
      <c r="D56" t="s">
        <v>26</v>
      </c>
      <c r="E56" t="s">
        <v>32</v>
      </c>
      <c r="F56">
        <v>2</v>
      </c>
      <c r="G56">
        <v>1400</v>
      </c>
      <c r="H56" t="s">
        <v>36</v>
      </c>
      <c r="I56" t="s">
        <v>42</v>
      </c>
      <c r="J56" t="s">
        <v>47</v>
      </c>
      <c r="K56">
        <v>2800</v>
      </c>
      <c r="L56">
        <f t="shared" si="0"/>
        <v>3</v>
      </c>
      <c r="M56" t="str" cm="1">
        <f t="array" ref="M56">_xlfn.IFS(K56&lt;$S$2,"Low",K56&gt;=$S$3,"High",TRUE,"Medium")</f>
        <v>Medium</v>
      </c>
    </row>
    <row r="57" spans="1:13" x14ac:dyDescent="0.25">
      <c r="A57">
        <v>1114</v>
      </c>
      <c r="B57" s="2">
        <v>46053</v>
      </c>
      <c r="C57" t="s">
        <v>18</v>
      </c>
      <c r="D57" t="s">
        <v>31</v>
      </c>
      <c r="E57" t="s">
        <v>33</v>
      </c>
      <c r="F57">
        <v>3</v>
      </c>
      <c r="G57">
        <v>15000</v>
      </c>
      <c r="H57" t="s">
        <v>38</v>
      </c>
      <c r="I57" t="s">
        <v>44</v>
      </c>
      <c r="J57" t="s">
        <v>46</v>
      </c>
      <c r="K57">
        <v>45000</v>
      </c>
      <c r="L57">
        <f t="shared" si="0"/>
        <v>1</v>
      </c>
      <c r="M57" t="str" cm="1">
        <f t="array" ref="M57">_xlfn.IFS(K57&lt;$S$2,"Low",K57&gt;=$S$3,"High",TRUE,"Medium")</f>
        <v>High</v>
      </c>
    </row>
    <row r="58" spans="1:13" x14ac:dyDescent="0.25">
      <c r="A58">
        <v>1008</v>
      </c>
      <c r="B58" s="2">
        <v>46110</v>
      </c>
      <c r="C58" t="s">
        <v>18</v>
      </c>
      <c r="D58" t="s">
        <v>28</v>
      </c>
      <c r="E58" t="s">
        <v>33</v>
      </c>
      <c r="F58">
        <v>2</v>
      </c>
      <c r="G58">
        <v>5500</v>
      </c>
      <c r="H58" t="s">
        <v>36</v>
      </c>
      <c r="I58" t="s">
        <v>43</v>
      </c>
      <c r="J58" t="s">
        <v>46</v>
      </c>
      <c r="K58">
        <v>11000</v>
      </c>
      <c r="L58">
        <f t="shared" si="0"/>
        <v>3</v>
      </c>
      <c r="M58" t="str" cm="1">
        <f t="array" ref="M58">_xlfn.IFS(K58&lt;$S$2,"Low",K58&gt;=$S$3,"High",TRUE,"Medium")</f>
        <v>High</v>
      </c>
    </row>
    <row r="59" spans="1:13" x14ac:dyDescent="0.25">
      <c r="A59">
        <v>1044</v>
      </c>
      <c r="B59" s="2">
        <v>46101</v>
      </c>
      <c r="C59" t="s">
        <v>18</v>
      </c>
      <c r="D59" t="s">
        <v>26</v>
      </c>
      <c r="E59" t="s">
        <v>32</v>
      </c>
      <c r="F59">
        <v>1</v>
      </c>
      <c r="G59">
        <v>1400</v>
      </c>
      <c r="H59" t="s">
        <v>35</v>
      </c>
      <c r="I59" t="s">
        <v>43</v>
      </c>
      <c r="J59" t="s">
        <v>47</v>
      </c>
      <c r="K59">
        <v>1400</v>
      </c>
      <c r="L59">
        <f t="shared" si="0"/>
        <v>3</v>
      </c>
      <c r="M59" t="str" cm="1">
        <f t="array" ref="M59">_xlfn.IFS(K59&lt;$S$2,"Low",K59&gt;=$S$3,"High",TRUE,"Medium")</f>
        <v>Low</v>
      </c>
    </row>
    <row r="60" spans="1:13" x14ac:dyDescent="0.25">
      <c r="A60">
        <v>1073</v>
      </c>
      <c r="B60" s="2">
        <v>46102</v>
      </c>
      <c r="C60" t="s">
        <v>17</v>
      </c>
      <c r="D60" t="s">
        <v>26</v>
      </c>
      <c r="E60" t="s">
        <v>32</v>
      </c>
      <c r="F60">
        <v>2</v>
      </c>
      <c r="G60">
        <v>5500</v>
      </c>
      <c r="H60" t="s">
        <v>37</v>
      </c>
      <c r="I60" t="s">
        <v>43</v>
      </c>
      <c r="J60" t="s">
        <v>48</v>
      </c>
      <c r="K60">
        <v>2800</v>
      </c>
      <c r="L60">
        <f t="shared" si="0"/>
        <v>3</v>
      </c>
      <c r="M60" t="str" cm="1">
        <f t="array" ref="M60">_xlfn.IFS(K60&lt;$S$2,"Low",K60&gt;=$S$3,"High",TRUE,"Medium")</f>
        <v>Medium</v>
      </c>
    </row>
    <row r="61" spans="1:13" x14ac:dyDescent="0.25">
      <c r="A61">
        <v>1068</v>
      </c>
      <c r="B61" s="2">
        <v>46038</v>
      </c>
      <c r="C61" t="s">
        <v>21</v>
      </c>
      <c r="D61" t="s">
        <v>30</v>
      </c>
      <c r="E61" t="s">
        <v>32</v>
      </c>
      <c r="F61">
        <v>3</v>
      </c>
      <c r="G61">
        <v>1200</v>
      </c>
      <c r="H61" t="s">
        <v>38</v>
      </c>
      <c r="I61" t="s">
        <v>41</v>
      </c>
      <c r="J61" t="s">
        <v>46</v>
      </c>
      <c r="K61">
        <v>3600</v>
      </c>
      <c r="L61">
        <f t="shared" si="0"/>
        <v>1</v>
      </c>
      <c r="M61" t="str" cm="1">
        <f t="array" ref="M61">_xlfn.IFS(K61&lt;$S$2,"Low",K61&gt;=$S$3,"High",TRUE,"Medium")</f>
        <v>Medium</v>
      </c>
    </row>
    <row r="62" spans="1:13" x14ac:dyDescent="0.25">
      <c r="A62">
        <v>1084</v>
      </c>
      <c r="B62" s="2">
        <v>46062</v>
      </c>
      <c r="C62" t="s">
        <v>17</v>
      </c>
      <c r="D62" t="s">
        <v>30</v>
      </c>
      <c r="E62" t="s">
        <v>32</v>
      </c>
      <c r="F62">
        <v>2</v>
      </c>
      <c r="G62">
        <v>1200</v>
      </c>
      <c r="H62" t="s">
        <v>38</v>
      </c>
      <c r="I62" t="s">
        <v>44</v>
      </c>
      <c r="J62" t="s">
        <v>46</v>
      </c>
      <c r="K62">
        <v>2400</v>
      </c>
      <c r="L62">
        <f t="shared" si="0"/>
        <v>2</v>
      </c>
      <c r="M62" t="str" cm="1">
        <f t="array" ref="M62">_xlfn.IFS(K62&lt;$S$2,"Low",K62&gt;=$S$3,"High",TRUE,"Medium")</f>
        <v>Medium</v>
      </c>
    </row>
    <row r="63" spans="1:13" x14ac:dyDescent="0.25">
      <c r="A63">
        <v>1028</v>
      </c>
      <c r="B63" s="2">
        <v>46088</v>
      </c>
      <c r="C63" t="s">
        <v>21</v>
      </c>
      <c r="D63" t="s">
        <v>26</v>
      </c>
      <c r="E63" t="s">
        <v>32</v>
      </c>
      <c r="F63">
        <v>1</v>
      </c>
      <c r="G63">
        <v>1400</v>
      </c>
      <c r="H63" t="s">
        <v>38</v>
      </c>
      <c r="I63" t="s">
        <v>42</v>
      </c>
      <c r="J63" t="s">
        <v>46</v>
      </c>
      <c r="K63">
        <v>1400</v>
      </c>
      <c r="L63">
        <f t="shared" si="0"/>
        <v>3</v>
      </c>
      <c r="M63" t="str" cm="1">
        <f t="array" ref="M63">_xlfn.IFS(K63&lt;$S$2,"Low",K63&gt;=$S$3,"High",TRUE,"Medium")</f>
        <v>Low</v>
      </c>
    </row>
    <row r="64" spans="1:13" x14ac:dyDescent="0.25">
      <c r="A64">
        <v>1020</v>
      </c>
      <c r="B64" s="2">
        <v>46027</v>
      </c>
      <c r="C64" t="s">
        <v>21</v>
      </c>
      <c r="D64" t="s">
        <v>27</v>
      </c>
      <c r="E64" t="s">
        <v>32</v>
      </c>
      <c r="F64">
        <v>2</v>
      </c>
      <c r="G64">
        <v>900</v>
      </c>
      <c r="H64" t="s">
        <v>37</v>
      </c>
      <c r="I64" t="s">
        <v>42</v>
      </c>
      <c r="J64" t="s">
        <v>46</v>
      </c>
      <c r="K64">
        <v>1800</v>
      </c>
      <c r="L64">
        <f t="shared" si="0"/>
        <v>1</v>
      </c>
      <c r="M64" t="str" cm="1">
        <f t="array" ref="M64">_xlfn.IFS(K64&lt;$S$2,"Low",K64&gt;=$S$3,"High",TRUE,"Medium")</f>
        <v>Low</v>
      </c>
    </row>
    <row r="65" spans="1:13" x14ac:dyDescent="0.25">
      <c r="A65">
        <v>1096</v>
      </c>
      <c r="B65" s="2">
        <v>46064</v>
      </c>
      <c r="C65" t="s">
        <v>13</v>
      </c>
      <c r="D65" t="s">
        <v>30</v>
      </c>
      <c r="E65" t="s">
        <v>32</v>
      </c>
      <c r="F65">
        <v>2</v>
      </c>
      <c r="G65">
        <v>1200</v>
      </c>
      <c r="H65" t="s">
        <v>35</v>
      </c>
      <c r="I65" t="s">
        <v>43</v>
      </c>
      <c r="J65" t="s">
        <v>48</v>
      </c>
      <c r="K65">
        <v>2400</v>
      </c>
      <c r="L65">
        <f t="shared" si="0"/>
        <v>2</v>
      </c>
      <c r="M65" t="str" cm="1">
        <f t="array" ref="M65">_xlfn.IFS(K65&lt;$S$2,"Low",K65&gt;=$S$3,"High",TRUE,"Medium")</f>
        <v>Medium</v>
      </c>
    </row>
    <row r="66" spans="1:13" x14ac:dyDescent="0.25">
      <c r="A66">
        <v>1101</v>
      </c>
      <c r="B66" s="2">
        <v>46029</v>
      </c>
      <c r="C66" t="s">
        <v>12</v>
      </c>
      <c r="D66" t="s">
        <v>30</v>
      </c>
      <c r="E66" t="s">
        <v>32</v>
      </c>
      <c r="F66">
        <v>1</v>
      </c>
      <c r="G66">
        <v>1200</v>
      </c>
      <c r="H66" t="s">
        <v>37</v>
      </c>
      <c r="I66" t="s">
        <v>44</v>
      </c>
      <c r="J66" t="s">
        <v>46</v>
      </c>
      <c r="K66">
        <v>1200</v>
      </c>
      <c r="L66">
        <f t="shared" si="0"/>
        <v>1</v>
      </c>
      <c r="M66" t="str" cm="1">
        <f t="array" ref="M66">_xlfn.IFS(K66&lt;$S$2,"Low",K66&gt;=$S$3,"High",TRUE,"Medium")</f>
        <v>Low</v>
      </c>
    </row>
    <row r="67" spans="1:13" x14ac:dyDescent="0.25">
      <c r="A67">
        <v>1009</v>
      </c>
      <c r="B67" s="2">
        <v>46104</v>
      </c>
      <c r="C67" t="s">
        <v>18</v>
      </c>
      <c r="D67" t="s">
        <v>29</v>
      </c>
      <c r="E67" t="s">
        <v>32</v>
      </c>
      <c r="F67">
        <v>2</v>
      </c>
      <c r="G67">
        <v>500</v>
      </c>
      <c r="H67" t="s">
        <v>35</v>
      </c>
      <c r="I67" t="s">
        <v>41</v>
      </c>
      <c r="J67" t="s">
        <v>46</v>
      </c>
      <c r="K67">
        <v>1000</v>
      </c>
      <c r="L67">
        <f t="shared" ref="L67:L121" si="1">MONTH(B67)</f>
        <v>3</v>
      </c>
      <c r="M67" t="str" cm="1">
        <f t="array" ref="M67">_xlfn.IFS(K67&lt;$S$2,"Low",K67&gt;=$S$3,"High",TRUE,"Medium")</f>
        <v>Low</v>
      </c>
    </row>
    <row r="68" spans="1:13" x14ac:dyDescent="0.25">
      <c r="A68">
        <v>1014</v>
      </c>
      <c r="B68" s="2">
        <v>46067</v>
      </c>
      <c r="C68" t="s">
        <v>18</v>
      </c>
      <c r="D68" t="s">
        <v>29</v>
      </c>
      <c r="E68" t="s">
        <v>32</v>
      </c>
      <c r="F68">
        <v>2</v>
      </c>
      <c r="G68">
        <v>500</v>
      </c>
      <c r="H68" t="s">
        <v>38</v>
      </c>
      <c r="I68" t="s">
        <v>42</v>
      </c>
      <c r="J68" t="s">
        <v>48</v>
      </c>
      <c r="K68">
        <v>1000</v>
      </c>
      <c r="L68">
        <f t="shared" si="1"/>
        <v>2</v>
      </c>
      <c r="M68" t="str" cm="1">
        <f t="array" ref="M68">_xlfn.IFS(K68&lt;$S$2,"Low",K68&gt;=$S$3,"High",TRUE,"Medium")</f>
        <v>Low</v>
      </c>
    </row>
    <row r="69" spans="1:13" x14ac:dyDescent="0.25">
      <c r="A69">
        <v>1085</v>
      </c>
      <c r="B69" s="2">
        <v>46062</v>
      </c>
      <c r="C69" t="s">
        <v>11</v>
      </c>
      <c r="D69" t="s">
        <v>27</v>
      </c>
      <c r="E69" t="s">
        <v>32</v>
      </c>
      <c r="F69">
        <v>1</v>
      </c>
      <c r="G69">
        <v>900</v>
      </c>
      <c r="H69" t="s">
        <v>38</v>
      </c>
      <c r="I69" t="s">
        <v>42</v>
      </c>
      <c r="J69" t="s">
        <v>46</v>
      </c>
      <c r="K69">
        <v>900</v>
      </c>
      <c r="L69">
        <f t="shared" si="1"/>
        <v>2</v>
      </c>
      <c r="M69" t="str" cm="1">
        <f t="array" ref="M69">_xlfn.IFS(K69&lt;$S$2,"Low",K69&gt;=$S$3,"High",TRUE,"Medium")</f>
        <v>Low</v>
      </c>
    </row>
    <row r="70" spans="1:13" x14ac:dyDescent="0.25">
      <c r="A70">
        <v>1004</v>
      </c>
      <c r="B70" s="2">
        <v>46075</v>
      </c>
      <c r="C70" t="s">
        <v>24</v>
      </c>
      <c r="D70" t="s">
        <v>29</v>
      </c>
      <c r="E70" t="s">
        <v>32</v>
      </c>
      <c r="F70">
        <v>1</v>
      </c>
      <c r="G70">
        <v>500</v>
      </c>
      <c r="H70" t="s">
        <v>36</v>
      </c>
      <c r="I70" t="s">
        <v>42</v>
      </c>
      <c r="J70" t="s">
        <v>48</v>
      </c>
      <c r="K70">
        <v>500</v>
      </c>
      <c r="L70">
        <f t="shared" si="1"/>
        <v>2</v>
      </c>
      <c r="M70" t="str" cm="1">
        <f t="array" ref="M70">_xlfn.IFS(K70&lt;$S$2,"Low",K70&gt;=$S$3,"High",TRUE,"Medium")</f>
        <v>Low</v>
      </c>
    </row>
    <row r="71" spans="1:13" x14ac:dyDescent="0.25">
      <c r="A71">
        <v>1018</v>
      </c>
      <c r="B71" s="2">
        <v>46074</v>
      </c>
      <c r="C71" t="s">
        <v>23</v>
      </c>
      <c r="D71" t="s">
        <v>29</v>
      </c>
      <c r="E71" t="s">
        <v>32</v>
      </c>
      <c r="F71">
        <v>1</v>
      </c>
      <c r="G71">
        <v>500</v>
      </c>
      <c r="H71" t="s">
        <v>36</v>
      </c>
      <c r="I71" t="s">
        <v>41</v>
      </c>
      <c r="J71" t="s">
        <v>46</v>
      </c>
      <c r="K71">
        <v>500</v>
      </c>
      <c r="L71">
        <f t="shared" si="1"/>
        <v>2</v>
      </c>
      <c r="M71" t="str" cm="1">
        <f t="array" ref="M71">_xlfn.IFS(K71&lt;$S$2,"Low",K71&gt;=$S$3,"High",TRUE,"Medium")</f>
        <v>Low</v>
      </c>
    </row>
    <row r="72" spans="1:13" x14ac:dyDescent="0.25">
      <c r="A72">
        <v>1039</v>
      </c>
      <c r="B72" s="2">
        <v>46083</v>
      </c>
      <c r="C72" t="s">
        <v>15</v>
      </c>
      <c r="D72" t="s">
        <v>28</v>
      </c>
      <c r="E72" t="s">
        <v>33</v>
      </c>
      <c r="F72">
        <v>1</v>
      </c>
      <c r="G72">
        <v>5500</v>
      </c>
      <c r="H72" t="s">
        <v>37</v>
      </c>
      <c r="I72" t="s">
        <v>42</v>
      </c>
      <c r="J72" t="s">
        <v>46</v>
      </c>
      <c r="K72">
        <v>5500</v>
      </c>
      <c r="L72">
        <f t="shared" si="1"/>
        <v>3</v>
      </c>
      <c r="M72" t="str" cm="1">
        <f t="array" ref="M72">_xlfn.IFS(K72&lt;$S$2,"Low",K72&gt;=$S$3,"High",TRUE,"Medium")</f>
        <v>Medium</v>
      </c>
    </row>
    <row r="73" spans="1:13" x14ac:dyDescent="0.25">
      <c r="A73">
        <v>1118</v>
      </c>
      <c r="B73" s="2">
        <v>46027</v>
      </c>
      <c r="C73" t="s">
        <v>13</v>
      </c>
      <c r="D73" t="s">
        <v>31</v>
      </c>
      <c r="E73" t="s">
        <v>33</v>
      </c>
      <c r="F73">
        <v>2</v>
      </c>
      <c r="G73">
        <v>15000</v>
      </c>
      <c r="H73" t="s">
        <v>38</v>
      </c>
      <c r="I73" t="s">
        <v>44</v>
      </c>
      <c r="J73" t="s">
        <v>46</v>
      </c>
      <c r="K73">
        <v>30000</v>
      </c>
      <c r="L73">
        <f t="shared" si="1"/>
        <v>1</v>
      </c>
      <c r="M73" t="str" cm="1">
        <f t="array" ref="M73">_xlfn.IFS(K73&lt;$S$2,"Low",K73&gt;=$S$3,"High",TRUE,"Medium")</f>
        <v>High</v>
      </c>
    </row>
    <row r="74" spans="1:13" x14ac:dyDescent="0.25">
      <c r="A74">
        <v>1007</v>
      </c>
      <c r="B74" s="2">
        <v>46086</v>
      </c>
      <c r="C74" t="s">
        <v>11</v>
      </c>
      <c r="D74" t="s">
        <v>28</v>
      </c>
      <c r="E74" t="s">
        <v>33</v>
      </c>
      <c r="F74">
        <v>2</v>
      </c>
      <c r="G74">
        <v>5500</v>
      </c>
      <c r="H74" t="s">
        <v>37</v>
      </c>
      <c r="I74" t="s">
        <v>44</v>
      </c>
      <c r="J74" t="s">
        <v>46</v>
      </c>
      <c r="K74">
        <v>11000</v>
      </c>
      <c r="L74">
        <f t="shared" si="1"/>
        <v>3</v>
      </c>
      <c r="M74" t="str" cm="1">
        <f t="array" ref="M74">_xlfn.IFS(K74&lt;$S$2,"Low",K74&gt;=$S$3,"High",TRUE,"Medium")</f>
        <v>High</v>
      </c>
    </row>
    <row r="75" spans="1:13" x14ac:dyDescent="0.25">
      <c r="A75">
        <v>1078</v>
      </c>
      <c r="B75" s="2">
        <v>46059</v>
      </c>
      <c r="C75" t="s">
        <v>18</v>
      </c>
      <c r="D75" t="s">
        <v>29</v>
      </c>
      <c r="E75" t="s">
        <v>32</v>
      </c>
      <c r="F75">
        <v>1</v>
      </c>
      <c r="G75">
        <v>500</v>
      </c>
      <c r="H75" t="s">
        <v>38</v>
      </c>
      <c r="I75" t="s">
        <v>42</v>
      </c>
      <c r="J75" t="s">
        <v>46</v>
      </c>
      <c r="K75">
        <v>500</v>
      </c>
      <c r="L75">
        <f t="shared" si="1"/>
        <v>2</v>
      </c>
      <c r="M75" t="str" cm="1">
        <f t="array" ref="M75">_xlfn.IFS(K75&lt;$S$2,"Low",K75&gt;=$S$3,"High",TRUE,"Medium")</f>
        <v>Low</v>
      </c>
    </row>
    <row r="76" spans="1:13" x14ac:dyDescent="0.25">
      <c r="A76">
        <v>1112</v>
      </c>
      <c r="B76" s="2">
        <v>46031</v>
      </c>
      <c r="C76" t="s">
        <v>23</v>
      </c>
      <c r="D76" t="s">
        <v>26</v>
      </c>
      <c r="E76" t="s">
        <v>32</v>
      </c>
      <c r="F76">
        <v>1</v>
      </c>
      <c r="G76">
        <v>1400</v>
      </c>
      <c r="H76" t="s">
        <v>35</v>
      </c>
      <c r="I76" t="s">
        <v>44</v>
      </c>
      <c r="J76" t="s">
        <v>46</v>
      </c>
      <c r="K76">
        <v>1400</v>
      </c>
      <c r="L76">
        <f t="shared" si="1"/>
        <v>1</v>
      </c>
      <c r="M76" t="str" cm="1">
        <f t="array" ref="M76">_xlfn.IFS(K76&lt;$S$2,"Low",K76&gt;=$S$3,"High",TRUE,"Medium")</f>
        <v>Low</v>
      </c>
    </row>
    <row r="77" spans="1:13" x14ac:dyDescent="0.25">
      <c r="A77">
        <v>1095</v>
      </c>
      <c r="B77" s="2">
        <v>46076</v>
      </c>
      <c r="C77" t="s">
        <v>24</v>
      </c>
      <c r="D77" t="s">
        <v>30</v>
      </c>
      <c r="E77" t="s">
        <v>32</v>
      </c>
      <c r="F77">
        <v>1</v>
      </c>
      <c r="G77">
        <v>1200</v>
      </c>
      <c r="H77" t="s">
        <v>37</v>
      </c>
      <c r="I77" t="s">
        <v>41</v>
      </c>
      <c r="J77" t="s">
        <v>46</v>
      </c>
      <c r="K77">
        <v>1200</v>
      </c>
      <c r="L77">
        <f t="shared" si="1"/>
        <v>2</v>
      </c>
      <c r="M77" t="str" cm="1">
        <f t="array" ref="M77">_xlfn.IFS(K77&lt;$S$2,"Low",K77&gt;=$S$3,"High",TRUE,"Medium")</f>
        <v>Low</v>
      </c>
    </row>
    <row r="78" spans="1:13" x14ac:dyDescent="0.25">
      <c r="A78">
        <v>1055</v>
      </c>
      <c r="B78" s="2">
        <v>46051</v>
      </c>
      <c r="C78" t="s">
        <v>17</v>
      </c>
      <c r="D78" t="s">
        <v>31</v>
      </c>
      <c r="E78" t="s">
        <v>33</v>
      </c>
      <c r="F78">
        <v>1</v>
      </c>
      <c r="G78">
        <v>15000</v>
      </c>
      <c r="H78" t="s">
        <v>36</v>
      </c>
      <c r="I78" t="s">
        <v>41</v>
      </c>
      <c r="J78" t="s">
        <v>46</v>
      </c>
      <c r="K78">
        <v>15000</v>
      </c>
      <c r="L78">
        <f t="shared" si="1"/>
        <v>1</v>
      </c>
      <c r="M78" t="str" cm="1">
        <f t="array" ref="M78">_xlfn.IFS(K78&lt;$S$2,"Low",K78&gt;=$S$3,"High",TRUE,"Medium")</f>
        <v>High</v>
      </c>
    </row>
    <row r="79" spans="1:13" x14ac:dyDescent="0.25">
      <c r="A79">
        <v>1051</v>
      </c>
      <c r="B79" s="2">
        <v>46087</v>
      </c>
      <c r="C79" t="s">
        <v>13</v>
      </c>
      <c r="D79" t="s">
        <v>31</v>
      </c>
      <c r="E79" t="s">
        <v>33</v>
      </c>
      <c r="F79">
        <v>2</v>
      </c>
      <c r="G79">
        <v>15000</v>
      </c>
      <c r="H79" t="s">
        <v>35</v>
      </c>
      <c r="I79" t="s">
        <v>42</v>
      </c>
      <c r="J79" t="s">
        <v>47</v>
      </c>
      <c r="K79">
        <v>30000</v>
      </c>
      <c r="L79">
        <f t="shared" si="1"/>
        <v>3</v>
      </c>
      <c r="M79" t="str" cm="1">
        <f t="array" ref="M79">_xlfn.IFS(K79&lt;$S$2,"Low",K79&gt;=$S$3,"High",TRUE,"Medium")</f>
        <v>High</v>
      </c>
    </row>
    <row r="80" spans="1:13" x14ac:dyDescent="0.25">
      <c r="A80">
        <v>1081</v>
      </c>
      <c r="B80" s="2">
        <v>46061</v>
      </c>
      <c r="C80" t="s">
        <v>23</v>
      </c>
      <c r="D80" t="s">
        <v>28</v>
      </c>
      <c r="E80" t="s">
        <v>33</v>
      </c>
      <c r="F80">
        <v>2</v>
      </c>
      <c r="G80">
        <v>5500</v>
      </c>
      <c r="H80" t="s">
        <v>38</v>
      </c>
      <c r="I80" t="s">
        <v>41</v>
      </c>
      <c r="J80" t="s">
        <v>46</v>
      </c>
      <c r="K80">
        <v>11000</v>
      </c>
      <c r="L80">
        <f t="shared" si="1"/>
        <v>2</v>
      </c>
      <c r="M80" t="str" cm="1">
        <f t="array" ref="M80">_xlfn.IFS(K80&lt;$S$2,"Low",K80&gt;=$S$3,"High",TRUE,"Medium")</f>
        <v>High</v>
      </c>
    </row>
    <row r="81" spans="1:13" x14ac:dyDescent="0.25">
      <c r="A81">
        <v>1047</v>
      </c>
      <c r="B81" s="2">
        <v>46074</v>
      </c>
      <c r="C81" t="s">
        <v>16</v>
      </c>
      <c r="D81" t="s">
        <v>29</v>
      </c>
      <c r="E81" t="s">
        <v>32</v>
      </c>
      <c r="F81">
        <v>1</v>
      </c>
      <c r="G81">
        <v>500</v>
      </c>
      <c r="H81" t="s">
        <v>35</v>
      </c>
      <c r="I81" t="s">
        <v>43</v>
      </c>
      <c r="J81" t="s">
        <v>48</v>
      </c>
      <c r="K81">
        <v>500</v>
      </c>
      <c r="L81">
        <f t="shared" si="1"/>
        <v>2</v>
      </c>
      <c r="M81" t="str" cm="1">
        <f t="array" ref="M81">_xlfn.IFS(K81&lt;$S$2,"Low",K81&gt;=$S$3,"High",TRUE,"Medium")</f>
        <v>Low</v>
      </c>
    </row>
    <row r="82" spans="1:13" x14ac:dyDescent="0.25">
      <c r="A82">
        <v>1082</v>
      </c>
      <c r="B82" s="2">
        <v>46060</v>
      </c>
      <c r="C82" t="s">
        <v>13</v>
      </c>
      <c r="D82" t="s">
        <v>30</v>
      </c>
      <c r="E82" t="s">
        <v>32</v>
      </c>
      <c r="F82">
        <v>1</v>
      </c>
      <c r="G82">
        <v>1200</v>
      </c>
      <c r="H82" t="s">
        <v>38</v>
      </c>
      <c r="I82" t="s">
        <v>42</v>
      </c>
      <c r="J82" t="s">
        <v>46</v>
      </c>
      <c r="K82">
        <v>1200</v>
      </c>
      <c r="L82">
        <f t="shared" si="1"/>
        <v>2</v>
      </c>
      <c r="M82" t="str" cm="1">
        <f t="array" ref="M82">_xlfn.IFS(K82&lt;$S$2,"Low",K82&gt;=$S$3,"High",TRUE,"Medium")</f>
        <v>Low</v>
      </c>
    </row>
    <row r="83" spans="1:13" x14ac:dyDescent="0.25">
      <c r="A83">
        <v>1062</v>
      </c>
      <c r="B83" s="2">
        <v>46084</v>
      </c>
      <c r="C83" t="s">
        <v>14</v>
      </c>
      <c r="D83" t="s">
        <v>26</v>
      </c>
      <c r="E83" t="s">
        <v>32</v>
      </c>
      <c r="F83">
        <v>1</v>
      </c>
      <c r="G83">
        <v>1400</v>
      </c>
      <c r="H83" t="s">
        <v>37</v>
      </c>
      <c r="I83" t="s">
        <v>41</v>
      </c>
      <c r="J83" t="s">
        <v>46</v>
      </c>
      <c r="K83">
        <v>1400</v>
      </c>
      <c r="L83">
        <f t="shared" si="1"/>
        <v>3</v>
      </c>
      <c r="M83" t="str" cm="1">
        <f t="array" ref="M83">_xlfn.IFS(K83&lt;$S$2,"Low",K83&gt;=$S$3,"High",TRUE,"Medium")</f>
        <v>Low</v>
      </c>
    </row>
    <row r="84" spans="1:13" x14ac:dyDescent="0.25">
      <c r="A84">
        <v>1117</v>
      </c>
      <c r="B84" s="2">
        <v>46063</v>
      </c>
      <c r="C84" t="s">
        <v>17</v>
      </c>
      <c r="D84" t="s">
        <v>30</v>
      </c>
      <c r="E84" t="s">
        <v>32</v>
      </c>
      <c r="F84">
        <v>2</v>
      </c>
      <c r="G84">
        <v>1200</v>
      </c>
      <c r="H84" t="s">
        <v>37</v>
      </c>
      <c r="I84" t="s">
        <v>42</v>
      </c>
      <c r="J84" t="s">
        <v>48</v>
      </c>
      <c r="K84">
        <v>2400</v>
      </c>
      <c r="L84">
        <f t="shared" si="1"/>
        <v>2</v>
      </c>
      <c r="M84" t="str" cm="1">
        <f t="array" ref="M84">_xlfn.IFS(K84&lt;$S$2,"Low",K84&gt;=$S$3,"High",TRUE,"Medium")</f>
        <v>Medium</v>
      </c>
    </row>
    <row r="85" spans="1:13" x14ac:dyDescent="0.25">
      <c r="A85">
        <v>1080</v>
      </c>
      <c r="B85" s="2">
        <v>46055</v>
      </c>
      <c r="C85" t="s">
        <v>12</v>
      </c>
      <c r="D85" t="s">
        <v>28</v>
      </c>
      <c r="E85" t="s">
        <v>33</v>
      </c>
      <c r="F85">
        <v>1</v>
      </c>
      <c r="G85">
        <v>5500</v>
      </c>
      <c r="H85" t="s">
        <v>36</v>
      </c>
      <c r="I85" t="s">
        <v>41</v>
      </c>
      <c r="J85" t="s">
        <v>47</v>
      </c>
      <c r="K85">
        <v>5500</v>
      </c>
      <c r="L85">
        <f t="shared" si="1"/>
        <v>2</v>
      </c>
      <c r="M85" t="str" cm="1">
        <f t="array" ref="M85">_xlfn.IFS(K85&lt;$S$2,"Low",K85&gt;=$S$3,"High",TRUE,"Medium")</f>
        <v>Medium</v>
      </c>
    </row>
    <row r="86" spans="1:13" x14ac:dyDescent="0.25">
      <c r="A86">
        <v>1094</v>
      </c>
      <c r="B86" s="2">
        <v>46043</v>
      </c>
      <c r="C86" t="s">
        <v>14</v>
      </c>
      <c r="D86" t="s">
        <v>31</v>
      </c>
      <c r="E86" t="s">
        <v>33</v>
      </c>
      <c r="F86">
        <v>1</v>
      </c>
      <c r="G86">
        <v>15000</v>
      </c>
      <c r="H86" t="s">
        <v>36</v>
      </c>
      <c r="I86" t="s">
        <v>41</v>
      </c>
      <c r="J86" t="s">
        <v>46</v>
      </c>
      <c r="K86">
        <v>15000</v>
      </c>
      <c r="L86">
        <f t="shared" si="1"/>
        <v>1</v>
      </c>
      <c r="M86" t="str" cm="1">
        <f t="array" ref="M86">_xlfn.IFS(K86&lt;$S$2,"Low",K86&gt;=$S$3,"High",TRUE,"Medium")</f>
        <v>High</v>
      </c>
    </row>
    <row r="87" spans="1:13" x14ac:dyDescent="0.25">
      <c r="A87">
        <v>1042</v>
      </c>
      <c r="B87" s="2">
        <v>46058</v>
      </c>
      <c r="C87" t="s">
        <v>24</v>
      </c>
      <c r="D87" t="s">
        <v>29</v>
      </c>
      <c r="E87" t="s">
        <v>32</v>
      </c>
      <c r="F87">
        <v>2</v>
      </c>
      <c r="G87">
        <v>500</v>
      </c>
      <c r="H87" t="s">
        <v>36</v>
      </c>
      <c r="I87" t="s">
        <v>44</v>
      </c>
      <c r="J87" t="s">
        <v>48</v>
      </c>
      <c r="K87">
        <v>1000</v>
      </c>
      <c r="L87">
        <f t="shared" si="1"/>
        <v>2</v>
      </c>
      <c r="M87" t="str" cm="1">
        <f t="array" ref="M87">_xlfn.IFS(K87&lt;$S$2,"Low",K87&gt;=$S$3,"High",TRUE,"Medium")</f>
        <v>Low</v>
      </c>
    </row>
    <row r="88" spans="1:13" x14ac:dyDescent="0.25">
      <c r="A88">
        <v>1059</v>
      </c>
      <c r="B88" s="2">
        <v>46086</v>
      </c>
      <c r="C88" t="s">
        <v>17</v>
      </c>
      <c r="D88" t="s">
        <v>28</v>
      </c>
      <c r="E88" t="s">
        <v>33</v>
      </c>
      <c r="F88">
        <v>1</v>
      </c>
      <c r="G88">
        <v>5500</v>
      </c>
      <c r="H88" t="s">
        <v>36</v>
      </c>
      <c r="I88" t="s">
        <v>44</v>
      </c>
      <c r="J88" t="s">
        <v>48</v>
      </c>
      <c r="K88">
        <v>5500</v>
      </c>
      <c r="L88">
        <f t="shared" si="1"/>
        <v>3</v>
      </c>
      <c r="M88" t="str" cm="1">
        <f t="array" ref="M88">_xlfn.IFS(K88&lt;$S$2,"Low",K88&gt;=$S$3,"High",TRUE,"Medium")</f>
        <v>Medium</v>
      </c>
    </row>
    <row r="89" spans="1:13" x14ac:dyDescent="0.25">
      <c r="A89">
        <v>1049</v>
      </c>
      <c r="B89" s="2">
        <v>46077</v>
      </c>
      <c r="C89" t="s">
        <v>14</v>
      </c>
      <c r="D89" t="s">
        <v>26</v>
      </c>
      <c r="E89" t="s">
        <v>32</v>
      </c>
      <c r="F89">
        <v>3</v>
      </c>
      <c r="G89">
        <v>1400</v>
      </c>
      <c r="H89" t="s">
        <v>35</v>
      </c>
      <c r="I89" t="s">
        <v>42</v>
      </c>
      <c r="J89" t="s">
        <v>48</v>
      </c>
      <c r="K89">
        <v>4200</v>
      </c>
      <c r="L89">
        <f t="shared" si="1"/>
        <v>2</v>
      </c>
      <c r="M89" t="str" cm="1">
        <f t="array" ref="M89">_xlfn.IFS(K89&lt;$S$2,"Low",K89&gt;=$S$3,"High",TRUE,"Medium")</f>
        <v>Medium</v>
      </c>
    </row>
    <row r="90" spans="1:13" x14ac:dyDescent="0.25">
      <c r="A90">
        <v>1102</v>
      </c>
      <c r="B90" s="2">
        <v>46082</v>
      </c>
      <c r="C90" t="s">
        <v>18</v>
      </c>
      <c r="D90" t="s">
        <v>29</v>
      </c>
      <c r="E90" t="s">
        <v>32</v>
      </c>
      <c r="F90">
        <v>1</v>
      </c>
      <c r="G90">
        <v>500</v>
      </c>
      <c r="H90" t="s">
        <v>37</v>
      </c>
      <c r="I90" t="s">
        <v>44</v>
      </c>
      <c r="J90" t="s">
        <v>48</v>
      </c>
      <c r="K90">
        <v>500</v>
      </c>
      <c r="L90">
        <f t="shared" si="1"/>
        <v>3</v>
      </c>
      <c r="M90" t="str" cm="1">
        <f t="array" ref="M90">_xlfn.IFS(K90&lt;$S$2,"Low",K90&gt;=$S$3,"High",TRUE,"Medium")</f>
        <v>Low</v>
      </c>
    </row>
    <row r="91" spans="1:13" x14ac:dyDescent="0.25">
      <c r="A91">
        <v>1058</v>
      </c>
      <c r="B91" s="2">
        <v>46068</v>
      </c>
      <c r="C91" t="s">
        <v>23</v>
      </c>
      <c r="D91" t="s">
        <v>27</v>
      </c>
      <c r="E91" t="s">
        <v>32</v>
      </c>
      <c r="F91">
        <v>3</v>
      </c>
      <c r="G91">
        <v>900</v>
      </c>
      <c r="H91" t="s">
        <v>37</v>
      </c>
      <c r="I91" t="s">
        <v>42</v>
      </c>
      <c r="J91" t="s">
        <v>48</v>
      </c>
      <c r="K91">
        <v>2700</v>
      </c>
      <c r="L91">
        <f t="shared" si="1"/>
        <v>2</v>
      </c>
      <c r="M91" t="str" cm="1">
        <f t="array" ref="M91">_xlfn.IFS(K91&lt;$S$2,"Low",K91&gt;=$S$3,"High",TRUE,"Medium")</f>
        <v>Medium</v>
      </c>
    </row>
    <row r="92" spans="1:13" x14ac:dyDescent="0.25">
      <c r="A92">
        <v>1076</v>
      </c>
      <c r="B92" s="2">
        <v>46030</v>
      </c>
      <c r="C92" t="s">
        <v>20</v>
      </c>
      <c r="D92" t="s">
        <v>28</v>
      </c>
      <c r="E92" t="s">
        <v>33</v>
      </c>
      <c r="F92">
        <v>1</v>
      </c>
      <c r="G92">
        <v>5500</v>
      </c>
      <c r="H92" t="s">
        <v>35</v>
      </c>
      <c r="I92" t="s">
        <v>42</v>
      </c>
      <c r="J92" t="s">
        <v>48</v>
      </c>
      <c r="K92">
        <v>5500</v>
      </c>
      <c r="L92">
        <f t="shared" si="1"/>
        <v>1</v>
      </c>
      <c r="M92" t="str" cm="1">
        <f t="array" ref="M92">_xlfn.IFS(K92&lt;$S$2,"Low",K92&gt;=$S$3,"High",TRUE,"Medium")</f>
        <v>Medium</v>
      </c>
    </row>
    <row r="93" spans="1:13" x14ac:dyDescent="0.25">
      <c r="A93">
        <v>1033</v>
      </c>
      <c r="B93" s="2">
        <v>46028</v>
      </c>
      <c r="C93" t="s">
        <v>21</v>
      </c>
      <c r="D93" t="s">
        <v>31</v>
      </c>
      <c r="E93" t="s">
        <v>33</v>
      </c>
      <c r="F93">
        <v>1</v>
      </c>
      <c r="G93">
        <v>15000</v>
      </c>
      <c r="H93" t="s">
        <v>35</v>
      </c>
      <c r="I93" t="s">
        <v>41</v>
      </c>
      <c r="J93" t="s">
        <v>46</v>
      </c>
      <c r="K93">
        <v>15000</v>
      </c>
      <c r="L93">
        <f t="shared" si="1"/>
        <v>1</v>
      </c>
      <c r="M93" t="str" cm="1">
        <f t="array" ref="M93">_xlfn.IFS(K93&lt;$S$2,"Low",K93&gt;=$S$3,"High",TRUE,"Medium")</f>
        <v>High</v>
      </c>
    </row>
    <row r="94" spans="1:13" x14ac:dyDescent="0.25">
      <c r="A94">
        <v>1113</v>
      </c>
      <c r="B94" s="2">
        <v>46075</v>
      </c>
      <c r="C94" t="s">
        <v>24</v>
      </c>
      <c r="D94" t="s">
        <v>26</v>
      </c>
      <c r="E94" t="s">
        <v>32</v>
      </c>
      <c r="F94">
        <v>1</v>
      </c>
      <c r="G94">
        <v>1400</v>
      </c>
      <c r="H94" t="s">
        <v>38</v>
      </c>
      <c r="I94" t="s">
        <v>41</v>
      </c>
      <c r="J94" t="s">
        <v>46</v>
      </c>
      <c r="K94">
        <v>1400</v>
      </c>
      <c r="L94">
        <f t="shared" si="1"/>
        <v>2</v>
      </c>
      <c r="M94" t="str" cm="1">
        <f t="array" ref="M94">_xlfn.IFS(K94&lt;$S$2,"Low",K94&gt;=$S$3,"High",TRUE,"Medium")</f>
        <v>Low</v>
      </c>
    </row>
    <row r="95" spans="1:13" x14ac:dyDescent="0.25">
      <c r="A95">
        <v>1060</v>
      </c>
      <c r="B95" s="2">
        <v>46091</v>
      </c>
      <c r="C95" t="s">
        <v>20</v>
      </c>
      <c r="D95" t="s">
        <v>29</v>
      </c>
      <c r="E95" t="s">
        <v>32</v>
      </c>
      <c r="F95">
        <v>2</v>
      </c>
      <c r="G95">
        <v>500</v>
      </c>
      <c r="H95" t="s">
        <v>35</v>
      </c>
      <c r="I95" t="s">
        <v>41</v>
      </c>
      <c r="J95" t="s">
        <v>47</v>
      </c>
      <c r="K95">
        <v>1000</v>
      </c>
      <c r="L95">
        <f t="shared" si="1"/>
        <v>3</v>
      </c>
      <c r="M95" t="str" cm="1">
        <f t="array" ref="M95">_xlfn.IFS(K95&lt;$S$2,"Low",K95&gt;=$S$3,"High",TRUE,"Medium")</f>
        <v>Low</v>
      </c>
    </row>
    <row r="96" spans="1:13" x14ac:dyDescent="0.25">
      <c r="A96">
        <v>1064</v>
      </c>
      <c r="B96" s="2">
        <v>46034</v>
      </c>
      <c r="C96" t="s">
        <v>21</v>
      </c>
      <c r="D96" t="s">
        <v>27</v>
      </c>
      <c r="E96" t="s">
        <v>32</v>
      </c>
      <c r="F96">
        <v>2</v>
      </c>
      <c r="G96">
        <v>900</v>
      </c>
      <c r="H96" t="s">
        <v>35</v>
      </c>
      <c r="I96" t="s">
        <v>43</v>
      </c>
      <c r="J96" t="s">
        <v>48</v>
      </c>
      <c r="K96">
        <v>1800</v>
      </c>
      <c r="L96">
        <f t="shared" si="1"/>
        <v>1</v>
      </c>
      <c r="M96" t="str" cm="1">
        <f t="array" ref="M96">_xlfn.IFS(K96&lt;$S$2,"Low",K96&gt;=$S$3,"High",TRUE,"Medium")</f>
        <v>Low</v>
      </c>
    </row>
    <row r="97" spans="1:13" x14ac:dyDescent="0.25">
      <c r="A97">
        <v>1106</v>
      </c>
      <c r="B97" s="2">
        <v>46101</v>
      </c>
      <c r="C97" t="s">
        <v>12</v>
      </c>
      <c r="D97" t="s">
        <v>26</v>
      </c>
      <c r="E97" t="s">
        <v>32</v>
      </c>
      <c r="F97">
        <v>1</v>
      </c>
      <c r="G97">
        <v>1400</v>
      </c>
      <c r="H97" t="s">
        <v>37</v>
      </c>
      <c r="I97" t="s">
        <v>43</v>
      </c>
      <c r="J97" t="s">
        <v>46</v>
      </c>
      <c r="K97">
        <v>1400</v>
      </c>
      <c r="L97">
        <f t="shared" si="1"/>
        <v>3</v>
      </c>
      <c r="M97" t="str" cm="1">
        <f t="array" ref="M97">_xlfn.IFS(K97&lt;$S$2,"Low",K97&gt;=$S$3,"High",TRUE,"Medium")</f>
        <v>Low</v>
      </c>
    </row>
    <row r="98" spans="1:13" x14ac:dyDescent="0.25">
      <c r="A98">
        <v>1038</v>
      </c>
      <c r="B98" s="2">
        <v>46097</v>
      </c>
      <c r="C98" t="s">
        <v>16</v>
      </c>
      <c r="D98" t="s">
        <v>27</v>
      </c>
      <c r="E98" t="s">
        <v>32</v>
      </c>
      <c r="F98">
        <v>1</v>
      </c>
      <c r="G98">
        <v>900</v>
      </c>
      <c r="H98" t="s">
        <v>38</v>
      </c>
      <c r="I98" t="s">
        <v>44</v>
      </c>
      <c r="J98" t="s">
        <v>47</v>
      </c>
      <c r="K98">
        <v>900</v>
      </c>
      <c r="L98">
        <f t="shared" si="1"/>
        <v>3</v>
      </c>
      <c r="M98" t="str" cm="1">
        <f t="array" ref="M98">_xlfn.IFS(K98&lt;$S$2,"Low",K98&gt;=$S$3,"High",TRUE,"Medium")</f>
        <v>Low</v>
      </c>
    </row>
    <row r="99" spans="1:13" x14ac:dyDescent="0.25">
      <c r="A99">
        <v>1030</v>
      </c>
      <c r="B99" s="2">
        <v>46084</v>
      </c>
      <c r="C99" t="s">
        <v>16</v>
      </c>
      <c r="D99" t="s">
        <v>31</v>
      </c>
      <c r="E99" t="s">
        <v>33</v>
      </c>
      <c r="F99">
        <v>3</v>
      </c>
      <c r="G99">
        <v>15000</v>
      </c>
      <c r="H99" t="s">
        <v>35</v>
      </c>
      <c r="I99" t="s">
        <v>41</v>
      </c>
      <c r="J99" t="s">
        <v>46</v>
      </c>
      <c r="K99">
        <v>45000</v>
      </c>
      <c r="L99">
        <f t="shared" si="1"/>
        <v>3</v>
      </c>
      <c r="M99" t="str" cm="1">
        <f t="array" ref="M99">_xlfn.IFS(K99&lt;$S$2,"Low",K99&gt;=$S$3,"High",TRUE,"Medium")</f>
        <v>High</v>
      </c>
    </row>
    <row r="100" spans="1:13" x14ac:dyDescent="0.25">
      <c r="A100">
        <v>1116</v>
      </c>
      <c r="B100" s="2">
        <v>46095</v>
      </c>
      <c r="C100" t="s">
        <v>21</v>
      </c>
      <c r="D100" t="s">
        <v>26</v>
      </c>
      <c r="E100" t="s">
        <v>32</v>
      </c>
      <c r="F100">
        <v>2</v>
      </c>
      <c r="G100">
        <v>1400</v>
      </c>
      <c r="H100" t="s">
        <v>37</v>
      </c>
      <c r="I100" t="s">
        <v>42</v>
      </c>
      <c r="J100" t="s">
        <v>46</v>
      </c>
      <c r="K100">
        <v>2800</v>
      </c>
      <c r="L100">
        <f t="shared" si="1"/>
        <v>3</v>
      </c>
      <c r="M100" t="str" cm="1">
        <f t="array" ref="M100">_xlfn.IFS(K100&lt;$S$2,"Low",K100&gt;=$S$3,"High",TRUE,"Medium")</f>
        <v>Medium</v>
      </c>
    </row>
    <row r="101" spans="1:13" x14ac:dyDescent="0.25">
      <c r="A101">
        <v>1002</v>
      </c>
      <c r="B101" s="2">
        <v>46050</v>
      </c>
      <c r="C101" t="s">
        <v>13</v>
      </c>
      <c r="D101" t="s">
        <v>27</v>
      </c>
      <c r="E101" t="s">
        <v>32</v>
      </c>
      <c r="F101">
        <v>1</v>
      </c>
      <c r="G101">
        <v>900</v>
      </c>
      <c r="H101" t="s">
        <v>37</v>
      </c>
      <c r="I101" t="s">
        <v>44</v>
      </c>
      <c r="J101" t="s">
        <v>46</v>
      </c>
      <c r="K101">
        <v>900</v>
      </c>
      <c r="L101">
        <f t="shared" si="1"/>
        <v>1</v>
      </c>
      <c r="M101" t="str" cm="1">
        <f t="array" ref="M101">_xlfn.IFS(K101&lt;$S$2,"Low",K101&gt;=$S$3,"High",TRUE,"Medium")</f>
        <v>Low</v>
      </c>
    </row>
    <row r="102" spans="1:13" x14ac:dyDescent="0.25">
      <c r="A102">
        <v>1053</v>
      </c>
      <c r="B102" s="2">
        <v>46050</v>
      </c>
      <c r="C102" t="s">
        <v>18</v>
      </c>
      <c r="D102" t="s">
        <v>29</v>
      </c>
      <c r="E102" t="s">
        <v>32</v>
      </c>
      <c r="F102">
        <v>1</v>
      </c>
      <c r="G102">
        <v>500</v>
      </c>
      <c r="H102" t="s">
        <v>37</v>
      </c>
      <c r="I102" t="s">
        <v>44</v>
      </c>
      <c r="J102" t="s">
        <v>48</v>
      </c>
      <c r="K102">
        <v>500</v>
      </c>
      <c r="L102">
        <f t="shared" si="1"/>
        <v>1</v>
      </c>
      <c r="M102" t="str" cm="1">
        <f t="array" ref="M102">_xlfn.IFS(K102&lt;$S$2,"Low",K102&gt;=$S$3,"High",TRUE,"Medium")</f>
        <v>Low</v>
      </c>
    </row>
    <row r="103" spans="1:13" x14ac:dyDescent="0.25">
      <c r="A103">
        <v>1022</v>
      </c>
      <c r="B103" s="2">
        <v>46078</v>
      </c>
      <c r="C103" t="s">
        <v>16</v>
      </c>
      <c r="D103" t="s">
        <v>30</v>
      </c>
      <c r="E103" t="s">
        <v>32</v>
      </c>
      <c r="F103">
        <v>1</v>
      </c>
      <c r="G103">
        <v>1200</v>
      </c>
      <c r="H103" t="s">
        <v>37</v>
      </c>
      <c r="I103" t="s">
        <v>44</v>
      </c>
      <c r="J103" t="s">
        <v>46</v>
      </c>
      <c r="K103">
        <v>1200</v>
      </c>
      <c r="L103">
        <f t="shared" si="1"/>
        <v>2</v>
      </c>
      <c r="M103" t="str" cm="1">
        <f t="array" ref="M103">_xlfn.IFS(K103&lt;$S$2,"Low",K103&gt;=$S$3,"High",TRUE,"Medium")</f>
        <v>Low</v>
      </c>
    </row>
    <row r="104" spans="1:13" x14ac:dyDescent="0.25">
      <c r="A104">
        <v>1003</v>
      </c>
      <c r="B104" s="2">
        <v>46090</v>
      </c>
      <c r="C104" t="s">
        <v>12</v>
      </c>
      <c r="D104" t="s">
        <v>28</v>
      </c>
      <c r="E104" t="s">
        <v>33</v>
      </c>
      <c r="F104">
        <v>2</v>
      </c>
      <c r="G104">
        <v>5500</v>
      </c>
      <c r="H104" t="s">
        <v>38</v>
      </c>
      <c r="I104" t="s">
        <v>44</v>
      </c>
      <c r="J104" t="s">
        <v>46</v>
      </c>
      <c r="K104">
        <v>11000</v>
      </c>
      <c r="L104">
        <f t="shared" si="1"/>
        <v>3</v>
      </c>
      <c r="M104" t="str" cm="1">
        <f t="array" ref="M104">_xlfn.IFS(K104&lt;$S$2,"Low",K104&gt;=$S$3,"High",TRUE,"Medium")</f>
        <v>High</v>
      </c>
    </row>
    <row r="105" spans="1:13" x14ac:dyDescent="0.25">
      <c r="A105">
        <v>1024</v>
      </c>
      <c r="B105" s="2">
        <v>46068</v>
      </c>
      <c r="C105" t="s">
        <v>15</v>
      </c>
      <c r="D105" t="s">
        <v>26</v>
      </c>
      <c r="E105" t="s">
        <v>32</v>
      </c>
      <c r="F105">
        <v>2</v>
      </c>
      <c r="G105">
        <v>1400</v>
      </c>
      <c r="H105" t="s">
        <v>38</v>
      </c>
      <c r="I105" t="s">
        <v>41</v>
      </c>
      <c r="J105" t="s">
        <v>46</v>
      </c>
      <c r="K105">
        <v>2800</v>
      </c>
      <c r="L105">
        <f t="shared" si="1"/>
        <v>2</v>
      </c>
      <c r="M105" t="str" cm="1">
        <f t="array" ref="M105">_xlfn.IFS(K105&lt;$S$2,"Low",K105&gt;=$S$3,"High",TRUE,"Medium")</f>
        <v>Medium</v>
      </c>
    </row>
    <row r="106" spans="1:13" x14ac:dyDescent="0.25">
      <c r="A106">
        <v>1104</v>
      </c>
      <c r="B106" s="2">
        <v>46062</v>
      </c>
      <c r="C106" t="s">
        <v>13</v>
      </c>
      <c r="D106" t="s">
        <v>30</v>
      </c>
      <c r="E106" t="s">
        <v>32</v>
      </c>
      <c r="F106">
        <v>1</v>
      </c>
      <c r="G106">
        <v>1200</v>
      </c>
      <c r="H106" t="s">
        <v>36</v>
      </c>
      <c r="I106" t="s">
        <v>43</v>
      </c>
      <c r="J106" t="s">
        <v>47</v>
      </c>
      <c r="K106">
        <v>1200</v>
      </c>
      <c r="L106">
        <f t="shared" si="1"/>
        <v>2</v>
      </c>
      <c r="M106" t="str" cm="1">
        <f t="array" ref="M106">_xlfn.IFS(K106&lt;$S$2,"Low",K106&gt;=$S$3,"High",TRUE,"Medium")</f>
        <v>Low</v>
      </c>
    </row>
    <row r="107" spans="1:13" x14ac:dyDescent="0.25">
      <c r="A107">
        <v>1100</v>
      </c>
      <c r="B107" s="2">
        <v>46084</v>
      </c>
      <c r="C107" t="s">
        <v>16</v>
      </c>
      <c r="D107" t="s">
        <v>30</v>
      </c>
      <c r="E107" t="s">
        <v>32</v>
      </c>
      <c r="F107">
        <v>2</v>
      </c>
      <c r="G107">
        <v>1200</v>
      </c>
      <c r="H107" t="s">
        <v>35</v>
      </c>
      <c r="I107" t="s">
        <v>43</v>
      </c>
      <c r="J107" t="s">
        <v>46</v>
      </c>
      <c r="K107">
        <v>2400</v>
      </c>
      <c r="L107">
        <f t="shared" si="1"/>
        <v>3</v>
      </c>
      <c r="M107" t="str" cm="1">
        <f t="array" ref="M107">_xlfn.IFS(K107&lt;$S$2,"Low",K107&gt;=$S$3,"High",TRUE,"Medium")</f>
        <v>Medium</v>
      </c>
    </row>
    <row r="108" spans="1:13" x14ac:dyDescent="0.25">
      <c r="A108">
        <v>1088</v>
      </c>
      <c r="B108" s="2">
        <v>46045</v>
      </c>
      <c r="C108" t="s">
        <v>18</v>
      </c>
      <c r="D108" t="s">
        <v>26</v>
      </c>
      <c r="E108" t="s">
        <v>32</v>
      </c>
      <c r="F108">
        <v>2</v>
      </c>
      <c r="G108">
        <v>1400</v>
      </c>
      <c r="H108" t="s">
        <v>35</v>
      </c>
      <c r="I108" t="s">
        <v>43</v>
      </c>
      <c r="J108" t="s">
        <v>46</v>
      </c>
      <c r="K108">
        <v>2800</v>
      </c>
      <c r="L108">
        <f t="shared" si="1"/>
        <v>1</v>
      </c>
      <c r="M108" t="str" cm="1">
        <f t="array" ref="M108">_xlfn.IFS(K108&lt;$S$2,"Low",K108&gt;=$S$3,"High",TRUE,"Medium")</f>
        <v>Medium</v>
      </c>
    </row>
    <row r="109" spans="1:13" x14ac:dyDescent="0.25">
      <c r="A109">
        <v>1109</v>
      </c>
      <c r="B109" s="2">
        <v>46089</v>
      </c>
      <c r="C109" t="s">
        <v>18</v>
      </c>
      <c r="D109" t="s">
        <v>31</v>
      </c>
      <c r="E109" t="s">
        <v>33</v>
      </c>
      <c r="F109">
        <v>2</v>
      </c>
      <c r="G109">
        <v>15000</v>
      </c>
      <c r="H109" t="s">
        <v>38</v>
      </c>
      <c r="I109" t="s">
        <v>44</v>
      </c>
      <c r="J109" t="s">
        <v>46</v>
      </c>
      <c r="K109">
        <v>30000</v>
      </c>
      <c r="L109">
        <f t="shared" si="1"/>
        <v>3</v>
      </c>
      <c r="M109" t="str" cm="1">
        <f t="array" ref="M109">_xlfn.IFS(K109&lt;$S$2,"Low",K109&gt;=$S$3,"High",TRUE,"Medium")</f>
        <v>High</v>
      </c>
    </row>
    <row r="110" spans="1:13" x14ac:dyDescent="0.25">
      <c r="A110">
        <v>1075</v>
      </c>
      <c r="B110" s="2">
        <v>46078</v>
      </c>
      <c r="C110" t="s">
        <v>17</v>
      </c>
      <c r="D110" t="s">
        <v>30</v>
      </c>
      <c r="E110" t="s">
        <v>32</v>
      </c>
      <c r="F110">
        <v>2</v>
      </c>
      <c r="G110">
        <v>1200</v>
      </c>
      <c r="H110" t="s">
        <v>37</v>
      </c>
      <c r="I110" t="s">
        <v>42</v>
      </c>
      <c r="J110" t="s">
        <v>46</v>
      </c>
      <c r="K110">
        <v>2400</v>
      </c>
      <c r="L110">
        <f t="shared" si="1"/>
        <v>2</v>
      </c>
      <c r="M110" t="str" cm="1">
        <f t="array" ref="M110">_xlfn.IFS(K110&lt;$S$2,"Low",K110&gt;=$S$3,"High",TRUE,"Medium")</f>
        <v>Medium</v>
      </c>
    </row>
    <row r="111" spans="1:13" x14ac:dyDescent="0.25">
      <c r="A111">
        <v>1087</v>
      </c>
      <c r="B111" s="2">
        <v>46088</v>
      </c>
      <c r="C111" t="s">
        <v>16</v>
      </c>
      <c r="D111" t="s">
        <v>31</v>
      </c>
      <c r="E111" t="s">
        <v>33</v>
      </c>
      <c r="F111">
        <v>3</v>
      </c>
      <c r="G111">
        <v>15000</v>
      </c>
      <c r="H111" t="s">
        <v>35</v>
      </c>
      <c r="I111" t="s">
        <v>44</v>
      </c>
      <c r="J111" t="s">
        <v>46</v>
      </c>
      <c r="K111">
        <v>45000</v>
      </c>
      <c r="L111">
        <f t="shared" si="1"/>
        <v>3</v>
      </c>
      <c r="M111" t="str" cm="1">
        <f t="array" ref="M111">_xlfn.IFS(K111&lt;$S$2,"Low",K111&gt;=$S$3,"High",TRUE,"Medium")</f>
        <v>High</v>
      </c>
    </row>
    <row r="112" spans="1:13" x14ac:dyDescent="0.25">
      <c r="A112">
        <v>1083</v>
      </c>
      <c r="B112" s="2">
        <v>46101</v>
      </c>
      <c r="C112" t="s">
        <v>20</v>
      </c>
      <c r="D112" t="s">
        <v>29</v>
      </c>
      <c r="E112" t="s">
        <v>32</v>
      </c>
      <c r="F112">
        <v>1</v>
      </c>
      <c r="G112">
        <v>500</v>
      </c>
      <c r="H112" t="s">
        <v>35</v>
      </c>
      <c r="I112" t="s">
        <v>44</v>
      </c>
      <c r="J112" t="s">
        <v>48</v>
      </c>
      <c r="K112">
        <v>500</v>
      </c>
      <c r="L112">
        <f t="shared" si="1"/>
        <v>3</v>
      </c>
      <c r="M112" t="str" cm="1">
        <f t="array" ref="M112">_xlfn.IFS(K112&lt;$S$2,"Low",K112&gt;=$S$3,"High",TRUE,"Medium")</f>
        <v>Low</v>
      </c>
    </row>
    <row r="113" spans="1:13" x14ac:dyDescent="0.25">
      <c r="A113">
        <v>1120</v>
      </c>
      <c r="B113" s="2">
        <v>46080</v>
      </c>
      <c r="C113" t="s">
        <v>14</v>
      </c>
      <c r="D113" t="s">
        <v>28</v>
      </c>
      <c r="E113" t="s">
        <v>33</v>
      </c>
      <c r="F113">
        <v>1</v>
      </c>
      <c r="G113">
        <v>5500</v>
      </c>
      <c r="H113" t="s">
        <v>36</v>
      </c>
      <c r="I113" t="s">
        <v>42</v>
      </c>
      <c r="J113" t="s">
        <v>46</v>
      </c>
      <c r="K113">
        <v>5500</v>
      </c>
      <c r="L113">
        <f t="shared" si="1"/>
        <v>2</v>
      </c>
      <c r="M113" t="str" cm="1">
        <f t="array" ref="M113">_xlfn.IFS(K113&lt;$S$2,"Low",K113&gt;=$S$3,"High",TRUE,"Medium")</f>
        <v>Medium</v>
      </c>
    </row>
    <row r="114" spans="1:13" x14ac:dyDescent="0.25">
      <c r="A114">
        <v>1021</v>
      </c>
      <c r="B114" s="2">
        <v>46105</v>
      </c>
      <c r="C114" t="s">
        <v>17</v>
      </c>
      <c r="D114" t="s">
        <v>26</v>
      </c>
      <c r="E114" t="s">
        <v>32</v>
      </c>
      <c r="F114">
        <v>1</v>
      </c>
      <c r="G114">
        <v>1400</v>
      </c>
      <c r="H114" t="s">
        <v>37</v>
      </c>
      <c r="I114" t="s">
        <v>43</v>
      </c>
      <c r="J114" t="s">
        <v>46</v>
      </c>
      <c r="K114">
        <v>1400</v>
      </c>
      <c r="L114">
        <f t="shared" si="1"/>
        <v>3</v>
      </c>
      <c r="M114" t="str" cm="1">
        <f t="array" ref="M114">_xlfn.IFS(K114&lt;$S$2,"Low",K114&gt;=$S$3,"High",TRUE,"Medium")</f>
        <v>Low</v>
      </c>
    </row>
    <row r="115" spans="1:13" x14ac:dyDescent="0.25">
      <c r="A115">
        <v>1061</v>
      </c>
      <c r="B115" s="2">
        <v>46041</v>
      </c>
      <c r="C115" t="s">
        <v>12</v>
      </c>
      <c r="D115" t="s">
        <v>26</v>
      </c>
      <c r="E115" t="s">
        <v>32</v>
      </c>
      <c r="F115">
        <v>2</v>
      </c>
      <c r="G115">
        <v>1400</v>
      </c>
      <c r="H115" t="s">
        <v>37</v>
      </c>
      <c r="I115" t="s">
        <v>41</v>
      </c>
      <c r="J115" t="s">
        <v>46</v>
      </c>
      <c r="K115">
        <v>2800</v>
      </c>
      <c r="L115">
        <f t="shared" si="1"/>
        <v>1</v>
      </c>
      <c r="M115" t="str" cm="1">
        <f t="array" ref="M115">_xlfn.IFS(K115&lt;$S$2,"Low",K115&gt;=$S$3,"High",TRUE,"Medium")</f>
        <v>Medium</v>
      </c>
    </row>
    <row r="116" spans="1:13" x14ac:dyDescent="0.25">
      <c r="A116">
        <v>1072</v>
      </c>
      <c r="B116" s="2">
        <v>46095</v>
      </c>
      <c r="C116" t="s">
        <v>18</v>
      </c>
      <c r="D116" t="s">
        <v>31</v>
      </c>
      <c r="E116" t="s">
        <v>33</v>
      </c>
      <c r="F116">
        <v>2</v>
      </c>
      <c r="G116">
        <v>15000</v>
      </c>
      <c r="H116" t="s">
        <v>37</v>
      </c>
      <c r="I116" t="s">
        <v>41</v>
      </c>
      <c r="J116" t="s">
        <v>47</v>
      </c>
      <c r="K116">
        <v>30000</v>
      </c>
      <c r="L116">
        <f t="shared" si="1"/>
        <v>3</v>
      </c>
      <c r="M116" t="str" cm="1">
        <f t="array" ref="M116">_xlfn.IFS(K116&lt;$S$2,"Low",K116&gt;=$S$3,"High",TRUE,"Medium")</f>
        <v>High</v>
      </c>
    </row>
    <row r="117" spans="1:13" x14ac:dyDescent="0.25">
      <c r="A117">
        <v>1107</v>
      </c>
      <c r="B117" s="2">
        <v>46034</v>
      </c>
      <c r="C117" t="s">
        <v>17</v>
      </c>
      <c r="D117" t="s">
        <v>26</v>
      </c>
      <c r="E117" t="s">
        <v>32</v>
      </c>
      <c r="F117">
        <v>2</v>
      </c>
      <c r="G117">
        <v>1400</v>
      </c>
      <c r="H117" t="s">
        <v>35</v>
      </c>
      <c r="I117" t="s">
        <v>43</v>
      </c>
      <c r="J117" t="s">
        <v>47</v>
      </c>
      <c r="K117">
        <v>2800</v>
      </c>
      <c r="L117">
        <f t="shared" si="1"/>
        <v>1</v>
      </c>
      <c r="M117" t="str" cm="1">
        <f t="array" ref="M117">_xlfn.IFS(K117&lt;$S$2,"Low",K117&gt;=$S$3,"High",TRUE,"Medium")</f>
        <v>Medium</v>
      </c>
    </row>
    <row r="118" spans="1:13" x14ac:dyDescent="0.25">
      <c r="A118">
        <v>1015</v>
      </c>
      <c r="B118" s="2">
        <v>46034</v>
      </c>
      <c r="C118" t="s">
        <v>20</v>
      </c>
      <c r="D118" t="s">
        <v>31</v>
      </c>
      <c r="E118" t="s">
        <v>33</v>
      </c>
      <c r="F118">
        <v>1</v>
      </c>
      <c r="G118">
        <v>15000</v>
      </c>
      <c r="H118" t="s">
        <v>36</v>
      </c>
      <c r="I118" t="s">
        <v>42</v>
      </c>
      <c r="J118" t="s">
        <v>47</v>
      </c>
      <c r="K118">
        <v>15000</v>
      </c>
      <c r="L118">
        <f t="shared" si="1"/>
        <v>1</v>
      </c>
      <c r="M118" t="str" cm="1">
        <f t="array" ref="M118">_xlfn.IFS(K118&lt;$S$2,"Low",K118&gt;=$S$3,"High",TRUE,"Medium")</f>
        <v>High</v>
      </c>
    </row>
    <row r="119" spans="1:13" x14ac:dyDescent="0.25">
      <c r="A119">
        <v>1093</v>
      </c>
      <c r="B119" s="2">
        <v>46101</v>
      </c>
      <c r="C119" t="s">
        <v>11</v>
      </c>
      <c r="D119" t="s">
        <v>28</v>
      </c>
      <c r="E119" t="s">
        <v>33</v>
      </c>
      <c r="F119">
        <v>2</v>
      </c>
      <c r="G119">
        <v>5500</v>
      </c>
      <c r="H119" t="s">
        <v>36</v>
      </c>
      <c r="I119" t="s">
        <v>43</v>
      </c>
      <c r="J119" t="s">
        <v>46</v>
      </c>
      <c r="K119">
        <v>11000</v>
      </c>
      <c r="L119">
        <f t="shared" si="1"/>
        <v>3</v>
      </c>
      <c r="M119" t="str" cm="1">
        <f t="array" ref="M119">_xlfn.IFS(K119&lt;$S$2,"Low",K119&gt;=$S$3,"High",TRUE,"Medium")</f>
        <v>High</v>
      </c>
    </row>
    <row r="120" spans="1:13" x14ac:dyDescent="0.25">
      <c r="A120">
        <v>1052</v>
      </c>
      <c r="B120" s="2">
        <v>46056</v>
      </c>
      <c r="C120" t="s">
        <v>21</v>
      </c>
      <c r="D120" t="s">
        <v>31</v>
      </c>
      <c r="E120" t="s">
        <v>33</v>
      </c>
      <c r="F120">
        <v>1</v>
      </c>
      <c r="G120">
        <v>15000</v>
      </c>
      <c r="H120" t="s">
        <v>37</v>
      </c>
      <c r="I120" t="s">
        <v>42</v>
      </c>
      <c r="J120" t="s">
        <v>47</v>
      </c>
      <c r="K120">
        <v>15000</v>
      </c>
      <c r="L120">
        <f t="shared" si="1"/>
        <v>2</v>
      </c>
      <c r="M120" t="str" cm="1">
        <f t="array" ref="M120">_xlfn.IFS(K120&lt;$S$2,"Low",K120&gt;=$S$3,"High",TRUE,"Medium")</f>
        <v>High</v>
      </c>
    </row>
    <row r="121" spans="1:13" x14ac:dyDescent="0.25">
      <c r="A121">
        <v>1103</v>
      </c>
      <c r="B121" s="2">
        <v>46071</v>
      </c>
      <c r="C121" t="s">
        <v>21</v>
      </c>
      <c r="D121" t="s">
        <v>26</v>
      </c>
      <c r="E121" t="s">
        <v>32</v>
      </c>
      <c r="F121">
        <v>1</v>
      </c>
      <c r="G121">
        <v>1400</v>
      </c>
      <c r="H121" t="s">
        <v>35</v>
      </c>
      <c r="I121" t="s">
        <v>41</v>
      </c>
      <c r="J121" t="s">
        <v>47</v>
      </c>
      <c r="K121">
        <v>1400</v>
      </c>
      <c r="L121">
        <f t="shared" si="1"/>
        <v>2</v>
      </c>
      <c r="M121" t="str" cm="1">
        <f t="array" ref="M121">_xlfn.IFS(K121&lt;$S$2,"Low",K121&gt;=$S$3,"High",TRUE,"Medium")</f>
        <v>Low</v>
      </c>
    </row>
    <row r="129" spans="3:13" x14ac:dyDescent="0.25">
      <c r="C129" s="40" t="s">
        <v>124</v>
      </c>
      <c r="D129" s="40"/>
      <c r="E129" s="40"/>
    </row>
    <row r="130" spans="3:13" x14ac:dyDescent="0.25">
      <c r="C130" t="str" cm="1">
        <f t="array" ref="C130:M153">_xlfn._xlws.FILTER(C2:M121,(J2:J121="Cancelado")*(K2:K121&gt;1000))</f>
        <v>Mariana Torres</v>
      </c>
      <c r="D130" t="str">
        <v>Monitor</v>
      </c>
      <c r="E130" t="str">
        <v>Computación</v>
      </c>
      <c r="F130">
        <v>2</v>
      </c>
      <c r="G130">
        <v>5500</v>
      </c>
      <c r="H130" t="str">
        <v>Sur</v>
      </c>
      <c r="I130" t="str">
        <v>Sofía</v>
      </c>
      <c r="J130" t="str">
        <v>Cancelado</v>
      </c>
      <c r="K130">
        <v>11000</v>
      </c>
      <c r="L130">
        <v>3</v>
      </c>
      <c r="M130" t="str">
        <v>High</v>
      </c>
    </row>
    <row r="131" spans="3:13" x14ac:dyDescent="0.25">
      <c r="C131" t="str">
        <v>Fernando Ruiz</v>
      </c>
      <c r="D131" t="str">
        <v>Monitor</v>
      </c>
      <c r="E131" t="str">
        <v>Computación</v>
      </c>
      <c r="F131">
        <v>1</v>
      </c>
      <c r="G131">
        <v>5500</v>
      </c>
      <c r="H131" t="str">
        <v>Centro</v>
      </c>
      <c r="I131" t="str">
        <v>Luis</v>
      </c>
      <c r="J131" t="str">
        <v>Cancelado</v>
      </c>
      <c r="K131">
        <v>5500</v>
      </c>
      <c r="L131">
        <v>2</v>
      </c>
      <c r="M131" t="str">
        <v>Medium</v>
      </c>
    </row>
    <row r="132" spans="3:13" x14ac:dyDescent="0.25">
      <c r="C132" t="str">
        <v>Ana López</v>
      </c>
      <c r="D132" t="str">
        <v>Laptop</v>
      </c>
      <c r="E132" t="str">
        <v>Computación</v>
      </c>
      <c r="F132">
        <v>2</v>
      </c>
      <c r="G132">
        <v>15000</v>
      </c>
      <c r="H132" t="str">
        <v>Sur</v>
      </c>
      <c r="I132" t="str">
        <v>Roberto</v>
      </c>
      <c r="J132" t="str">
        <v>Cancelado</v>
      </c>
      <c r="K132">
        <v>30000</v>
      </c>
      <c r="L132">
        <v>1</v>
      </c>
      <c r="M132" t="str">
        <v>High</v>
      </c>
    </row>
    <row r="133" spans="3:13" x14ac:dyDescent="0.25">
      <c r="C133" t="str">
        <v>Miguel Flores</v>
      </c>
      <c r="D133" t="str">
        <v>Monitor</v>
      </c>
      <c r="E133" t="str">
        <v>Computación</v>
      </c>
      <c r="F133">
        <v>1</v>
      </c>
      <c r="G133">
        <v>5500</v>
      </c>
      <c r="H133" t="str">
        <v>Sur</v>
      </c>
      <c r="I133" t="str">
        <v>Andrea</v>
      </c>
      <c r="J133" t="str">
        <v>Cancelado</v>
      </c>
      <c r="K133">
        <v>5500</v>
      </c>
      <c r="L133">
        <v>2</v>
      </c>
      <c r="M133" t="str">
        <v>Medium</v>
      </c>
    </row>
    <row r="134" spans="3:13" x14ac:dyDescent="0.25">
      <c r="C134" t="str">
        <v>Juan Pérez</v>
      </c>
      <c r="D134" t="str">
        <v>Audífonos</v>
      </c>
      <c r="E134" t="str">
        <v>Accesorios</v>
      </c>
      <c r="F134">
        <v>1</v>
      </c>
      <c r="G134">
        <v>1200</v>
      </c>
      <c r="H134" t="str">
        <v>Occidente</v>
      </c>
      <c r="I134" t="str">
        <v>Andrea</v>
      </c>
      <c r="J134" t="str">
        <v>Cancelado</v>
      </c>
      <c r="K134">
        <v>1200</v>
      </c>
      <c r="L134">
        <v>3</v>
      </c>
      <c r="M134" t="str">
        <v>Low</v>
      </c>
    </row>
    <row r="135" spans="3:13" x14ac:dyDescent="0.25">
      <c r="C135" t="str">
        <v>Diego Ramírez</v>
      </c>
      <c r="D135" t="str">
        <v>Webcam</v>
      </c>
      <c r="E135" t="str">
        <v>Accesorios</v>
      </c>
      <c r="F135">
        <v>1</v>
      </c>
      <c r="G135">
        <v>1400</v>
      </c>
      <c r="H135" t="str">
        <v>Occidente</v>
      </c>
      <c r="I135" t="str">
        <v>Roberto</v>
      </c>
      <c r="J135" t="str">
        <v>Cancelado</v>
      </c>
      <c r="K135">
        <v>1400</v>
      </c>
      <c r="L135">
        <v>2</v>
      </c>
      <c r="M135" t="str">
        <v>Low</v>
      </c>
    </row>
    <row r="136" spans="3:13" x14ac:dyDescent="0.25">
      <c r="C136" t="str">
        <v>Luis Sánchez</v>
      </c>
      <c r="D136" t="str">
        <v>Webcam</v>
      </c>
      <c r="E136" t="str">
        <v>Accesorios</v>
      </c>
      <c r="F136">
        <v>3</v>
      </c>
      <c r="G136">
        <v>1400</v>
      </c>
      <c r="H136" t="str">
        <v>Norte</v>
      </c>
      <c r="I136" t="str">
        <v>Luis</v>
      </c>
      <c r="J136" t="str">
        <v>Cancelado</v>
      </c>
      <c r="K136">
        <v>4200</v>
      </c>
      <c r="L136">
        <v>3</v>
      </c>
      <c r="M136" t="str">
        <v>Medium</v>
      </c>
    </row>
    <row r="137" spans="3:13" x14ac:dyDescent="0.25">
      <c r="C137" t="str">
        <v>Carlos García</v>
      </c>
      <c r="D137" t="str">
        <v>Teclado</v>
      </c>
      <c r="E137" t="str">
        <v>Accesorios</v>
      </c>
      <c r="F137">
        <v>2</v>
      </c>
      <c r="G137">
        <v>900</v>
      </c>
      <c r="H137" t="str">
        <v>Occidente</v>
      </c>
      <c r="I137" t="str">
        <v>Roberto</v>
      </c>
      <c r="J137" t="str">
        <v>Cancelado</v>
      </c>
      <c r="K137">
        <v>1800</v>
      </c>
      <c r="L137">
        <v>3</v>
      </c>
      <c r="M137" t="str">
        <v>Low</v>
      </c>
    </row>
    <row r="138" spans="3:13" x14ac:dyDescent="0.25">
      <c r="C138" t="str">
        <v>Laura Martínez</v>
      </c>
      <c r="D138" t="str">
        <v>Monitor</v>
      </c>
      <c r="E138" t="str">
        <v>Computación</v>
      </c>
      <c r="F138">
        <v>1</v>
      </c>
      <c r="G138">
        <v>5500</v>
      </c>
      <c r="H138" t="str">
        <v>Centro</v>
      </c>
      <c r="I138" t="str">
        <v>Luis</v>
      </c>
      <c r="J138" t="str">
        <v>Cancelado</v>
      </c>
      <c r="K138">
        <v>5500</v>
      </c>
      <c r="L138">
        <v>2</v>
      </c>
      <c r="M138" t="str">
        <v>Medium</v>
      </c>
    </row>
    <row r="139" spans="3:13" x14ac:dyDescent="0.25">
      <c r="C139" t="str">
        <v>Daniela Castro</v>
      </c>
      <c r="D139" t="str">
        <v>Monitor</v>
      </c>
      <c r="E139" t="str">
        <v>Computación</v>
      </c>
      <c r="F139">
        <v>1</v>
      </c>
      <c r="G139">
        <v>5500</v>
      </c>
      <c r="H139" t="str">
        <v>Sur</v>
      </c>
      <c r="I139" t="str">
        <v>Luis</v>
      </c>
      <c r="J139" t="str">
        <v>Cancelado</v>
      </c>
      <c r="K139">
        <v>5500</v>
      </c>
      <c r="L139">
        <v>2</v>
      </c>
      <c r="M139" t="str">
        <v>Medium</v>
      </c>
    </row>
    <row r="140" spans="3:13" x14ac:dyDescent="0.25">
      <c r="C140" t="str">
        <v>Ana López</v>
      </c>
      <c r="D140" t="str">
        <v>Teclado</v>
      </c>
      <c r="E140" t="str">
        <v>Accesorios</v>
      </c>
      <c r="F140">
        <v>2</v>
      </c>
      <c r="G140">
        <v>900</v>
      </c>
      <c r="H140" t="str">
        <v>Norte</v>
      </c>
      <c r="I140" t="str">
        <v>Luis</v>
      </c>
      <c r="J140" t="str">
        <v>Cancelado</v>
      </c>
      <c r="K140">
        <v>1800</v>
      </c>
      <c r="L140">
        <v>3</v>
      </c>
      <c r="M140" t="str">
        <v>Low</v>
      </c>
    </row>
    <row r="141" spans="3:13" x14ac:dyDescent="0.25">
      <c r="C141" t="str">
        <v>Laura Martínez</v>
      </c>
      <c r="D141" t="str">
        <v>Audífonos</v>
      </c>
      <c r="E141" t="str">
        <v>Accesorios</v>
      </c>
      <c r="F141">
        <v>1</v>
      </c>
      <c r="G141">
        <v>1200</v>
      </c>
      <c r="H141" t="str">
        <v>Norte</v>
      </c>
      <c r="I141" t="str">
        <v>Andrea</v>
      </c>
      <c r="J141" t="str">
        <v>Cancelado</v>
      </c>
      <c r="K141">
        <v>1200</v>
      </c>
      <c r="L141">
        <v>1</v>
      </c>
      <c r="M141" t="str">
        <v>Low</v>
      </c>
    </row>
    <row r="142" spans="3:13" x14ac:dyDescent="0.25">
      <c r="C142" t="str">
        <v>Laura Martínez</v>
      </c>
      <c r="D142" t="str">
        <v>Webcam</v>
      </c>
      <c r="E142" t="str">
        <v>Accesorios</v>
      </c>
      <c r="F142">
        <v>2</v>
      </c>
      <c r="G142">
        <v>1400</v>
      </c>
      <c r="H142" t="str">
        <v>Norte</v>
      </c>
      <c r="I142" t="str">
        <v>Sofía</v>
      </c>
      <c r="J142" t="str">
        <v>Cancelado</v>
      </c>
      <c r="K142">
        <v>2800</v>
      </c>
      <c r="L142">
        <v>2</v>
      </c>
      <c r="M142" t="str">
        <v>Medium</v>
      </c>
    </row>
    <row r="143" spans="3:13" x14ac:dyDescent="0.25">
      <c r="C143" t="str">
        <v>Diego Ramírez</v>
      </c>
      <c r="D143" t="str">
        <v>Laptop</v>
      </c>
      <c r="E143" t="str">
        <v>Computación</v>
      </c>
      <c r="F143">
        <v>1</v>
      </c>
      <c r="G143">
        <v>15000</v>
      </c>
      <c r="H143" t="str">
        <v>Sur</v>
      </c>
      <c r="I143" t="str">
        <v>Andrea</v>
      </c>
      <c r="J143" t="str">
        <v>Cancelado</v>
      </c>
      <c r="K143">
        <v>15000</v>
      </c>
      <c r="L143">
        <v>3</v>
      </c>
      <c r="M143" t="str">
        <v>High</v>
      </c>
    </row>
    <row r="144" spans="3:13" x14ac:dyDescent="0.25">
      <c r="C144" t="str">
        <v>Diego Ramírez</v>
      </c>
      <c r="D144" t="str">
        <v>Webcam</v>
      </c>
      <c r="E144" t="str">
        <v>Accesorios</v>
      </c>
      <c r="F144">
        <v>2</v>
      </c>
      <c r="G144">
        <v>1400</v>
      </c>
      <c r="H144" t="str">
        <v>Occidente</v>
      </c>
      <c r="I144" t="str">
        <v>Sofía</v>
      </c>
      <c r="J144" t="str">
        <v>Cancelado</v>
      </c>
      <c r="K144">
        <v>2800</v>
      </c>
      <c r="L144">
        <v>3</v>
      </c>
      <c r="M144" t="str">
        <v>Medium</v>
      </c>
    </row>
    <row r="145" spans="3:13" x14ac:dyDescent="0.25">
      <c r="C145" t="str">
        <v>Ana López</v>
      </c>
      <c r="D145" t="str">
        <v>Webcam</v>
      </c>
      <c r="E145" t="str">
        <v>Accesorios</v>
      </c>
      <c r="F145">
        <v>1</v>
      </c>
      <c r="G145">
        <v>1400</v>
      </c>
      <c r="H145" t="str">
        <v>Sur</v>
      </c>
      <c r="I145" t="str">
        <v>Luis</v>
      </c>
      <c r="J145" t="str">
        <v>Cancelado</v>
      </c>
      <c r="K145">
        <v>1400</v>
      </c>
      <c r="L145">
        <v>3</v>
      </c>
      <c r="M145" t="str">
        <v>Low</v>
      </c>
    </row>
    <row r="146" spans="3:13" x14ac:dyDescent="0.25">
      <c r="C146" t="str">
        <v>Mariana Torres</v>
      </c>
      <c r="D146" t="str">
        <v>Laptop</v>
      </c>
      <c r="E146" t="str">
        <v>Computación</v>
      </c>
      <c r="F146">
        <v>2</v>
      </c>
      <c r="G146">
        <v>15000</v>
      </c>
      <c r="H146" t="str">
        <v>Sur</v>
      </c>
      <c r="I146" t="str">
        <v>Sofía</v>
      </c>
      <c r="J146" t="str">
        <v>Cancelado</v>
      </c>
      <c r="K146">
        <v>30000</v>
      </c>
      <c r="L146">
        <v>3</v>
      </c>
      <c r="M146" t="str">
        <v>High</v>
      </c>
    </row>
    <row r="147" spans="3:13" x14ac:dyDescent="0.25">
      <c r="C147" t="str">
        <v>Miguel Flores</v>
      </c>
      <c r="D147" t="str">
        <v>Monitor</v>
      </c>
      <c r="E147" t="str">
        <v>Computación</v>
      </c>
      <c r="F147">
        <v>1</v>
      </c>
      <c r="G147">
        <v>5500</v>
      </c>
      <c r="H147" t="str">
        <v>Occidente</v>
      </c>
      <c r="I147" t="str">
        <v>Roberto</v>
      </c>
      <c r="J147" t="str">
        <v>Cancelado</v>
      </c>
      <c r="K147">
        <v>5500</v>
      </c>
      <c r="L147">
        <v>2</v>
      </c>
      <c r="M147" t="str">
        <v>Medium</v>
      </c>
    </row>
    <row r="148" spans="3:13" x14ac:dyDescent="0.25">
      <c r="C148" t="str">
        <v>Mariana Torres</v>
      </c>
      <c r="D148" t="str">
        <v>Audífonos</v>
      </c>
      <c r="E148" t="str">
        <v>Accesorios</v>
      </c>
      <c r="F148">
        <v>1</v>
      </c>
      <c r="G148">
        <v>1200</v>
      </c>
      <c r="H148" t="str">
        <v>Occidente</v>
      </c>
      <c r="I148" t="str">
        <v>Luis</v>
      </c>
      <c r="J148" t="str">
        <v>Cancelado</v>
      </c>
      <c r="K148">
        <v>1200</v>
      </c>
      <c r="L148">
        <v>2</v>
      </c>
      <c r="M148" t="str">
        <v>Low</v>
      </c>
    </row>
    <row r="149" spans="3:13" x14ac:dyDescent="0.25">
      <c r="C149" t="str">
        <v>Ana López</v>
      </c>
      <c r="D149" t="str">
        <v>Laptop</v>
      </c>
      <c r="E149" t="str">
        <v>Computación</v>
      </c>
      <c r="F149">
        <v>2</v>
      </c>
      <c r="G149">
        <v>15000</v>
      </c>
      <c r="H149" t="str">
        <v>Centro</v>
      </c>
      <c r="I149" t="str">
        <v>Roberto</v>
      </c>
      <c r="J149" t="str">
        <v>Cancelado</v>
      </c>
      <c r="K149">
        <v>30000</v>
      </c>
      <c r="L149">
        <v>3</v>
      </c>
      <c r="M149" t="str">
        <v>High</v>
      </c>
    </row>
    <row r="150" spans="3:13" x14ac:dyDescent="0.25">
      <c r="C150" t="str">
        <v>Fernando Ruiz</v>
      </c>
      <c r="D150" t="str">
        <v>Webcam</v>
      </c>
      <c r="E150" t="str">
        <v>Accesorios</v>
      </c>
      <c r="F150">
        <v>2</v>
      </c>
      <c r="G150">
        <v>1400</v>
      </c>
      <c r="H150" t="str">
        <v>Sur</v>
      </c>
      <c r="I150" t="str">
        <v>Luis</v>
      </c>
      <c r="J150" t="str">
        <v>Cancelado</v>
      </c>
      <c r="K150">
        <v>2800</v>
      </c>
      <c r="L150">
        <v>1</v>
      </c>
      <c r="M150" t="str">
        <v>Medium</v>
      </c>
    </row>
    <row r="151" spans="3:13" x14ac:dyDescent="0.25">
      <c r="C151" t="str">
        <v>Luis Sánchez</v>
      </c>
      <c r="D151" t="str">
        <v>Laptop</v>
      </c>
      <c r="E151" t="str">
        <v>Computación</v>
      </c>
      <c r="F151">
        <v>1</v>
      </c>
      <c r="G151">
        <v>15000</v>
      </c>
      <c r="H151" t="str">
        <v>Occidente</v>
      </c>
      <c r="I151" t="str">
        <v>Sofía</v>
      </c>
      <c r="J151" t="str">
        <v>Cancelado</v>
      </c>
      <c r="K151">
        <v>15000</v>
      </c>
      <c r="L151">
        <v>1</v>
      </c>
      <c r="M151" t="str">
        <v>High</v>
      </c>
    </row>
    <row r="152" spans="3:13" x14ac:dyDescent="0.25">
      <c r="C152" t="str">
        <v>Sofía Hernández</v>
      </c>
      <c r="D152" t="str">
        <v>Laptop</v>
      </c>
      <c r="E152" t="str">
        <v>Computación</v>
      </c>
      <c r="F152">
        <v>1</v>
      </c>
      <c r="G152">
        <v>15000</v>
      </c>
      <c r="H152" t="str">
        <v>Centro</v>
      </c>
      <c r="I152" t="str">
        <v>Sofía</v>
      </c>
      <c r="J152" t="str">
        <v>Cancelado</v>
      </c>
      <c r="K152">
        <v>15000</v>
      </c>
      <c r="L152">
        <v>2</v>
      </c>
      <c r="M152" t="str">
        <v>High</v>
      </c>
    </row>
    <row r="153" spans="3:13" x14ac:dyDescent="0.25">
      <c r="C153" t="str">
        <v>Sofía Hernández</v>
      </c>
      <c r="D153" t="str">
        <v>Webcam</v>
      </c>
      <c r="E153" t="str">
        <v>Accesorios</v>
      </c>
      <c r="F153">
        <v>1</v>
      </c>
      <c r="G153">
        <v>1400</v>
      </c>
      <c r="H153" t="str">
        <v>Sur</v>
      </c>
      <c r="I153" t="str">
        <v>Roberto</v>
      </c>
      <c r="J153" t="str">
        <v>Cancelado</v>
      </c>
      <c r="K153">
        <v>1400</v>
      </c>
      <c r="L153">
        <v>2</v>
      </c>
      <c r="M153" t="str">
        <v>Low</v>
      </c>
    </row>
    <row r="154" spans="3:13" x14ac:dyDescent="0.25">
      <c r="C154" s="41" t="s">
        <v>109</v>
      </c>
      <c r="D154" s="41"/>
      <c r="E154" s="41"/>
      <c r="F154" s="41"/>
      <c r="G154" s="41"/>
    </row>
  </sheetData>
  <mergeCells count="4">
    <mergeCell ref="C129:E129"/>
    <mergeCell ref="C154:G154"/>
    <mergeCell ref="O5:P5"/>
    <mergeCell ref="O6:P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F26EE-4C41-4FEE-BDD2-F883BE97AB5A}">
  <dimension ref="A2:J24"/>
  <sheetViews>
    <sheetView zoomScale="115" zoomScaleNormal="115" workbookViewId="0">
      <selection activeCell="H17" sqref="H17"/>
    </sheetView>
  </sheetViews>
  <sheetFormatPr baseColWidth="10" defaultRowHeight="15" x14ac:dyDescent="0.25"/>
  <cols>
    <col min="1" max="2" width="17.5703125" bestFit="1" customWidth="1"/>
    <col min="3" max="3" width="16.85546875" bestFit="1" customWidth="1"/>
    <col min="4" max="4" width="17" bestFit="1" customWidth="1"/>
    <col min="5" max="5" width="12.5703125" bestFit="1" customWidth="1"/>
    <col min="8" max="8" width="17.5703125" bestFit="1" customWidth="1"/>
    <col min="9" max="9" width="17" bestFit="1" customWidth="1"/>
  </cols>
  <sheetData>
    <row r="2" spans="1:10" x14ac:dyDescent="0.25">
      <c r="B2" s="46" t="s">
        <v>125</v>
      </c>
      <c r="C2" s="46"/>
      <c r="D2" s="46"/>
      <c r="H2" s="46" t="s">
        <v>126</v>
      </c>
      <c r="I2" s="46"/>
      <c r="J2" s="3"/>
    </row>
    <row r="4" spans="1:10" x14ac:dyDescent="0.25">
      <c r="B4" s="8" t="s">
        <v>60</v>
      </c>
      <c r="C4" t="s">
        <v>38</v>
      </c>
      <c r="H4" s="8" t="s">
        <v>72</v>
      </c>
      <c r="I4" t="s">
        <v>112</v>
      </c>
    </row>
    <row r="5" spans="1:10" x14ac:dyDescent="0.25">
      <c r="B5" s="8" t="s">
        <v>61</v>
      </c>
      <c r="C5" t="s">
        <v>26</v>
      </c>
      <c r="H5" s="9" t="s">
        <v>41</v>
      </c>
      <c r="I5" s="14">
        <v>257400</v>
      </c>
    </row>
    <row r="6" spans="1:10" x14ac:dyDescent="0.25">
      <c r="H6" s="9" t="s">
        <v>44</v>
      </c>
      <c r="I6" s="14">
        <v>231800</v>
      </c>
    </row>
    <row r="7" spans="1:10" x14ac:dyDescent="0.25">
      <c r="B7" s="8" t="s">
        <v>72</v>
      </c>
      <c r="C7" t="s">
        <v>83</v>
      </c>
      <c r="D7" t="s">
        <v>94</v>
      </c>
      <c r="H7" s="9" t="s">
        <v>42</v>
      </c>
      <c r="I7" s="14">
        <v>138400</v>
      </c>
    </row>
    <row r="8" spans="1:10" x14ac:dyDescent="0.25">
      <c r="B8" s="9" t="s">
        <v>42</v>
      </c>
      <c r="C8">
        <v>4</v>
      </c>
      <c r="D8">
        <v>7</v>
      </c>
      <c r="H8" s="9" t="s">
        <v>43</v>
      </c>
      <c r="I8" s="14">
        <v>102100</v>
      </c>
    </row>
    <row r="9" spans="1:10" x14ac:dyDescent="0.25">
      <c r="B9" s="9" t="s">
        <v>43</v>
      </c>
      <c r="C9">
        <v>1</v>
      </c>
      <c r="D9">
        <v>3</v>
      </c>
      <c r="H9" s="9" t="s">
        <v>73</v>
      </c>
      <c r="I9" s="14">
        <v>729700</v>
      </c>
    </row>
    <row r="10" spans="1:10" x14ac:dyDescent="0.25">
      <c r="B10" s="9" t="s">
        <v>41</v>
      </c>
      <c r="C10">
        <v>2</v>
      </c>
      <c r="D10">
        <v>3</v>
      </c>
    </row>
    <row r="11" spans="1:10" x14ac:dyDescent="0.25">
      <c r="B11" s="9" t="s">
        <v>73</v>
      </c>
      <c r="C11">
        <v>7</v>
      </c>
      <c r="D11">
        <v>13</v>
      </c>
    </row>
    <row r="13" spans="1:10" x14ac:dyDescent="0.25">
      <c r="A13" s="9"/>
    </row>
    <row r="14" spans="1:10" x14ac:dyDescent="0.25">
      <c r="A14" s="9"/>
    </row>
    <row r="15" spans="1:10" x14ac:dyDescent="0.25">
      <c r="A15" s="9"/>
      <c r="B15" s="46" t="s">
        <v>127</v>
      </c>
      <c r="C15" s="46"/>
      <c r="D15" s="46"/>
    </row>
    <row r="16" spans="1:10" x14ac:dyDescent="0.25">
      <c r="A16" s="9"/>
      <c r="B16" s="3"/>
      <c r="C16" s="3"/>
      <c r="D16" s="3"/>
    </row>
    <row r="17" spans="2:4" x14ac:dyDescent="0.25">
      <c r="B17" s="8" t="s">
        <v>72</v>
      </c>
      <c r="C17" t="s">
        <v>94</v>
      </c>
      <c r="D17" t="s">
        <v>112</v>
      </c>
    </row>
    <row r="18" spans="2:4" x14ac:dyDescent="0.25">
      <c r="B18" s="9" t="s">
        <v>31</v>
      </c>
      <c r="C18">
        <v>29</v>
      </c>
      <c r="D18" s="14">
        <v>435000</v>
      </c>
    </row>
    <row r="19" spans="2:4" x14ac:dyDescent="0.25">
      <c r="B19" s="9" t="s">
        <v>28</v>
      </c>
      <c r="C19">
        <v>29</v>
      </c>
      <c r="D19" s="14">
        <v>159500</v>
      </c>
    </row>
    <row r="20" spans="2:4" x14ac:dyDescent="0.25">
      <c r="B20" s="9" t="s">
        <v>26</v>
      </c>
      <c r="C20">
        <v>39</v>
      </c>
      <c r="D20" s="14">
        <v>54600</v>
      </c>
    </row>
    <row r="21" spans="2:4" x14ac:dyDescent="0.25">
      <c r="B21" s="9" t="s">
        <v>30</v>
      </c>
      <c r="C21">
        <v>28</v>
      </c>
      <c r="D21" s="14">
        <v>33600</v>
      </c>
    </row>
    <row r="22" spans="2:4" x14ac:dyDescent="0.25">
      <c r="B22" s="9" t="s">
        <v>27</v>
      </c>
      <c r="C22">
        <v>30</v>
      </c>
      <c r="D22" s="14">
        <v>27000</v>
      </c>
    </row>
    <row r="23" spans="2:4" x14ac:dyDescent="0.25">
      <c r="B23" s="9" t="s">
        <v>29</v>
      </c>
      <c r="C23">
        <v>30</v>
      </c>
      <c r="D23" s="14">
        <v>20000</v>
      </c>
    </row>
    <row r="24" spans="2:4" x14ac:dyDescent="0.25">
      <c r="B24" s="9" t="s">
        <v>73</v>
      </c>
      <c r="C24">
        <v>185</v>
      </c>
      <c r="D24" s="14">
        <v>729700</v>
      </c>
    </row>
  </sheetData>
  <mergeCells count="3">
    <mergeCell ref="B2:D2"/>
    <mergeCell ref="H2:I2"/>
    <mergeCell ref="B15:D1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B4045-2A29-48E2-82C7-110B80634B04}">
  <dimension ref="B2:G37"/>
  <sheetViews>
    <sheetView showGridLines="0" zoomScale="130" zoomScaleNormal="130" workbookViewId="0"/>
  </sheetViews>
  <sheetFormatPr baseColWidth="10" defaultRowHeight="15" x14ac:dyDescent="0.25"/>
  <cols>
    <col min="1" max="1" width="11.42578125" customWidth="1"/>
    <col min="2" max="2" width="34.5703125" hidden="1" customWidth="1"/>
    <col min="3" max="3" width="17.140625" hidden="1" customWidth="1"/>
    <col min="4" max="4" width="0.140625" customWidth="1"/>
    <col min="5" max="5" width="24.42578125" customWidth="1"/>
    <col min="6" max="6" width="26" customWidth="1"/>
    <col min="7" max="7" width="19.5703125" customWidth="1"/>
  </cols>
  <sheetData>
    <row r="2" spans="2:7" x14ac:dyDescent="0.25">
      <c r="B2" s="12"/>
      <c r="C2" s="14"/>
      <c r="E2" s="11" t="s">
        <v>69</v>
      </c>
      <c r="F2" s="19" t="s">
        <v>110</v>
      </c>
      <c r="G2" s="11" t="s">
        <v>111</v>
      </c>
    </row>
    <row r="3" spans="2:7" x14ac:dyDescent="0.25">
      <c r="E3" s="18">
        <v>729700</v>
      </c>
      <c r="F3" s="13">
        <v>6080.833333333333</v>
      </c>
      <c r="G3" s="20">
        <v>0.25833333333333336</v>
      </c>
    </row>
    <row r="4" spans="2:7" x14ac:dyDescent="0.25">
      <c r="B4" s="12"/>
      <c r="C4" s="16"/>
      <c r="E4" s="12"/>
      <c r="F4" s="16"/>
    </row>
    <row r="6" spans="2:7" x14ac:dyDescent="0.25">
      <c r="B6" s="12"/>
      <c r="C6" s="17"/>
      <c r="E6" s="12"/>
      <c r="F6" s="17"/>
    </row>
    <row r="10" spans="2:7" x14ac:dyDescent="0.25">
      <c r="B10" s="8" t="s">
        <v>72</v>
      </c>
      <c r="C10" t="s">
        <v>112</v>
      </c>
      <c r="D10" t="s">
        <v>94</v>
      </c>
    </row>
    <row r="11" spans="2:7" x14ac:dyDescent="0.25">
      <c r="B11" s="9" t="s">
        <v>29</v>
      </c>
      <c r="C11" s="14">
        <v>20000</v>
      </c>
      <c r="D11" s="15">
        <v>30</v>
      </c>
    </row>
    <row r="12" spans="2:7" x14ac:dyDescent="0.25">
      <c r="B12" s="9" t="s">
        <v>27</v>
      </c>
      <c r="C12" s="14">
        <v>27000</v>
      </c>
      <c r="D12" s="15">
        <v>30</v>
      </c>
    </row>
    <row r="13" spans="2:7" x14ac:dyDescent="0.25">
      <c r="B13" s="9" t="s">
        <v>30</v>
      </c>
      <c r="C13" s="14">
        <v>33600</v>
      </c>
      <c r="D13" s="15">
        <v>28</v>
      </c>
    </row>
    <row r="14" spans="2:7" x14ac:dyDescent="0.25">
      <c r="B14" s="9" t="s">
        <v>26</v>
      </c>
      <c r="C14" s="14">
        <v>54600</v>
      </c>
      <c r="D14" s="15">
        <v>39</v>
      </c>
    </row>
    <row r="15" spans="2:7" x14ac:dyDescent="0.25">
      <c r="B15" s="9" t="s">
        <v>28</v>
      </c>
      <c r="C15" s="14">
        <v>159500</v>
      </c>
      <c r="D15" s="15">
        <v>29</v>
      </c>
    </row>
    <row r="16" spans="2:7" x14ac:dyDescent="0.25">
      <c r="B16" s="9" t="s">
        <v>31</v>
      </c>
      <c r="C16" s="14">
        <v>435000</v>
      </c>
      <c r="D16" s="15">
        <v>29</v>
      </c>
    </row>
    <row r="17" spans="2:4" x14ac:dyDescent="0.25">
      <c r="B17" s="9" t="s">
        <v>73</v>
      </c>
      <c r="C17" s="14">
        <v>729700</v>
      </c>
      <c r="D17">
        <v>185</v>
      </c>
    </row>
    <row r="21" spans="2:4" x14ac:dyDescent="0.25">
      <c r="B21" s="8" t="s">
        <v>72</v>
      </c>
      <c r="C21" t="s">
        <v>112</v>
      </c>
    </row>
    <row r="22" spans="2:4" x14ac:dyDescent="0.25">
      <c r="B22" s="9" t="s">
        <v>31</v>
      </c>
      <c r="C22" s="14">
        <v>435000</v>
      </c>
    </row>
    <row r="23" spans="2:4" x14ac:dyDescent="0.25">
      <c r="B23" s="9" t="s">
        <v>28</v>
      </c>
      <c r="C23" s="14">
        <v>159500</v>
      </c>
    </row>
    <row r="24" spans="2:4" x14ac:dyDescent="0.25">
      <c r="B24" s="9" t="s">
        <v>26</v>
      </c>
      <c r="C24" s="14">
        <v>54600</v>
      </c>
    </row>
    <row r="25" spans="2:4" x14ac:dyDescent="0.25">
      <c r="B25" s="9" t="s">
        <v>30</v>
      </c>
      <c r="C25" s="14">
        <v>33600</v>
      </c>
    </row>
    <row r="26" spans="2:4" x14ac:dyDescent="0.25">
      <c r="B26" s="9" t="s">
        <v>27</v>
      </c>
      <c r="C26" s="14">
        <v>27000</v>
      </c>
    </row>
    <row r="27" spans="2:4" x14ac:dyDescent="0.25">
      <c r="B27" s="9" t="s">
        <v>29</v>
      </c>
      <c r="C27" s="14">
        <v>20000</v>
      </c>
    </row>
    <row r="28" spans="2:4" x14ac:dyDescent="0.25">
      <c r="B28" s="9" t="s">
        <v>73</v>
      </c>
      <c r="C28" s="14">
        <v>729700</v>
      </c>
    </row>
    <row r="33" spans="2:3" x14ac:dyDescent="0.25">
      <c r="B33" s="8" t="s">
        <v>72</v>
      </c>
      <c r="C33" t="s">
        <v>83</v>
      </c>
    </row>
    <row r="34" spans="2:3" x14ac:dyDescent="0.25">
      <c r="B34" s="21" t="s">
        <v>113</v>
      </c>
      <c r="C34">
        <v>30</v>
      </c>
    </row>
    <row r="35" spans="2:3" x14ac:dyDescent="0.25">
      <c r="B35" s="21" t="s">
        <v>114</v>
      </c>
      <c r="C35">
        <v>49</v>
      </c>
    </row>
    <row r="36" spans="2:3" x14ac:dyDescent="0.25">
      <c r="B36" s="21" t="s">
        <v>115</v>
      </c>
      <c r="C36">
        <v>41</v>
      </c>
    </row>
    <row r="37" spans="2:3" x14ac:dyDescent="0.25">
      <c r="B37" s="21" t="s">
        <v>73</v>
      </c>
      <c r="C37">
        <v>120</v>
      </c>
    </row>
  </sheetData>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Sales</vt:lpstr>
      <vt:lpstr>Questions</vt:lpstr>
      <vt:lpstr>Analysis</vt:lpstr>
      <vt:lpstr>Sales_Pivot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Mau BR</cp:lastModifiedBy>
  <dcterms:created xsi:type="dcterms:W3CDTF">2026-09-24T08:19:38Z</dcterms:created>
  <dcterms:modified xsi:type="dcterms:W3CDTF">2026-09-30T20:01:05Z</dcterms:modified>
</cp:coreProperties>
</file>